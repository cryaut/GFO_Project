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Leeme" sheetId="1" state="visible" r:id="rId3"/>
    <sheet name="Entradas" sheetId="2" state="visible" r:id="rId4"/>
    <sheet name="Derivados" sheetId="3" state="visible" r:id="rId5"/>
    <sheet name="Razones" sheetId="4" state="visible" r:id="rId6"/>
    <sheet name="Esperado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<sst xmlns="http://schemas.openxmlformats.org/spreadsheetml/2006/main" count="524" uniqueCount="313">
  <si>
    <t xml:space="preserve">Ejemplo de cálculo a mano de razones financieras, v3 (ficticio)</t>
  </si>
  <si>
    <t xml:space="preserve">Empresa ficticia. Las cifras no pertenecen a ninguna empresa real; no las mezcles con otras fuentes.</t>
  </si>
  <si>
    <t xml:space="preserve">Hojas</t>
  </si>
  <si>
    <t xml:space="preserve">Entradas: datos de entrada por periodo. Las celdas amarillas son datos; los vacíos son "no reportado".</t>
  </si>
  <si>
    <t xml:space="preserve">Derivados: sumas y totales calculados con fórmulas, más una comprobación del balance (debe dar 0).</t>
  </si>
  <si>
    <t xml:space="preserve">Razones: las 20 razones para 2023 y 2024, con fórmula del JSON. Esperados: valores de referencia.</t>
  </si>
  <si>
    <t xml:space="preserve">Control</t>
  </si>
  <si>
    <t xml:space="preserve">Entradas!D3 = control mostrar_calculo_directo_primer_periodo. FALSE (apagado, valor por defecto) o TRUE (encendido).</t>
  </si>
  <si>
    <t xml:space="preserve">Con el control apagado, las razones de flujo de 2023 salen N/D. Con el control encendido, salen con cierre directo.</t>
  </si>
  <si>
    <t xml:space="preserve">Reglas de cálculo</t>
  </si>
  <si>
    <t xml:space="preserve">1. Un dato faltante nunca vale 0. El resultado es N/D con motivo.</t>
  </si>
  <si>
    <t xml:space="preserve">2. Razón de saldo (punto): usa solo saldos de cierre del periodo, sin promedio.</t>
  </si>
  <si>
    <t xml:space="preserve">3. Razón de flujo: promedio = (cierre del periodo anterior + cierre del periodo actual) / 2.</t>
  </si>
  <si>
    <t xml:space="preserve">4. Primer periodo sin anterior: N/D con control apagado; cierre directo con control encendido.</t>
  </si>
  <si>
    <t xml:space="preserve">5. Denominador en cero: N/D.</t>
  </si>
  <si>
    <t xml:space="preserve">6. Un total reportado numérico se usa. Vacío significa no reportado: se calcula por componentes.</t>
  </si>
  <si>
    <t xml:space="preserve">7. Gastos y costos son positivos y se restan. La depreciación acumulada es negativa y se suma con su signo.</t>
  </si>
  <si>
    <t xml:space="preserve">8. Compras a crédito = pagos a proveedores + cuentas por pagar del periodo actual − cuentas por pagar del periodo anterior.</t>
  </si>
  <si>
    <t xml:space="preserve">9. Se guardan valores completos. El redondeo solo se aplica al mostrar: veces, días y porcentaje con 2 decimales; moneda con 0.</t>
  </si>
  <si>
    <t xml:space="preserve">   Separador decimal: punto. Separador de miles: coma. Porcentaje con sufijo " %".</t>
  </si>
  <si>
    <t xml:space="preserve">10. Porcentajes: la celda guarda la razón × 100 para mostrar el número con " %".</t>
  </si>
  <si>
    <t xml:space="preserve">11. Sin marcadores de posición: lo que falta aparece como N/D.</t>
  </si>
  <si>
    <t xml:space="preserve">Notas del ejemplo</t>
  </si>
  <si>
    <t xml:space="preserve">Intereses: se suman como línea propia (opción A, D-051). Por eso la utilidad neta de este ejemplo suma is.interest_income.</t>
  </si>
  <si>
    <t xml:space="preserve">La fórmula de utilidad neta del JSON actual aún no incluye ese término; se incorpora al JSON en la ronda 14.</t>
  </si>
  <si>
    <t xml:space="preserve">Utilidades retenidas 2024 = 97,000 + utilidad neta 99,000 − reserva legal 5,000. Sin dividendos en este ejemplo.</t>
  </si>
  <si>
    <t xml:space="preserve">Entradas por periodo (ficticias)</t>
  </si>
  <si>
    <t xml:space="preserve">Control mostrar_calculo_directo_primer_periodo (FALSE = apagado)</t>
  </si>
  <si>
    <t xml:space="preserve">Id</t>
  </si>
  <si>
    <t xml:space="preserve">Cuenta</t>
  </si>
  <si>
    <t xml:space="preserve">Sección</t>
  </si>
  <si>
    <t xml:space="preserve">2023</t>
  </si>
  <si>
    <t xml:space="preserve">2024</t>
  </si>
  <si>
    <t xml:space="preserve">Nota</t>
  </si>
  <si>
    <t xml:space="preserve">Estado de resultados (flujo del año)</t>
  </si>
  <si>
    <t xml:space="preserve">is.product_sales</t>
  </si>
  <si>
    <t xml:space="preserve">Ventas de productos</t>
  </si>
  <si>
    <t xml:space="preserve">Estado de resultados</t>
  </si>
  <si>
    <t xml:space="preserve">is.service_revenue</t>
  </si>
  <si>
    <t xml:space="preserve">Ingresos por servicios</t>
  </si>
  <si>
    <t xml:space="preserve">is.other_sales_revenue</t>
  </si>
  <si>
    <t xml:space="preserve">Otros ingresos por ventas</t>
  </si>
  <si>
    <t xml:space="preserve">is.sales_total</t>
  </si>
  <si>
    <t xml:space="preserve">Ventas totales (reportado)</t>
  </si>
  <si>
    <t xml:space="preserve">Vacío: no reportado, se calcula por componentes</t>
  </si>
  <si>
    <t xml:space="preserve">is.sales_returns</t>
  </si>
  <si>
    <t xml:space="preserve">Devoluciones sobre ventas</t>
  </si>
  <si>
    <t xml:space="preserve">is.sales_discounts</t>
  </si>
  <si>
    <t xml:space="preserve">Descuentos sobre ventas</t>
  </si>
  <si>
    <t xml:space="preserve">is.sales_allowances</t>
  </si>
  <si>
    <t xml:space="preserve">Rebajas sobre ventas</t>
  </si>
  <si>
    <t xml:space="preserve">is.net_sales_reported</t>
  </si>
  <si>
    <t xml:space="preserve">Ventas netas (reportado)</t>
  </si>
  <si>
    <t xml:space="preserve">Vacío: se calcula</t>
  </si>
  <si>
    <t xml:space="preserve">is.merchandise_cost</t>
  </si>
  <si>
    <t xml:space="preserve">Costo de mercancía vendida</t>
  </si>
  <si>
    <t xml:space="preserve">is.product_cost</t>
  </si>
  <si>
    <t xml:space="preserve">Costo de productos vendidos</t>
  </si>
  <si>
    <t xml:space="preserve">is.service_cost</t>
  </si>
  <si>
    <t xml:space="preserve">Costo de servicios</t>
  </si>
  <si>
    <t xml:space="preserve">is.cost_of_sales_reported</t>
  </si>
  <si>
    <t xml:space="preserve">Costo de ventas (reportado)</t>
  </si>
  <si>
    <t xml:space="preserve">is.gross_profit_reported</t>
  </si>
  <si>
    <t xml:space="preserve">Utilidad bruta (reportado)</t>
  </si>
  <si>
    <t xml:space="preserve">is.selling_expenses</t>
  </si>
  <si>
    <t xml:space="preserve">Gastos de venta</t>
  </si>
  <si>
    <t xml:space="preserve">is.administrative_expenses</t>
  </si>
  <si>
    <t xml:space="preserve">Gastos de administración</t>
  </si>
  <si>
    <t xml:space="preserve">is.operating_depreciation</t>
  </si>
  <si>
    <t xml:space="preserve">Depreciación de operación</t>
  </si>
  <si>
    <t xml:space="preserve">is.operating_amortization</t>
  </si>
  <si>
    <t xml:space="preserve">Amortización de operación</t>
  </si>
  <si>
    <t xml:space="preserve">is.other_operating_expenses</t>
  </si>
  <si>
    <t xml:space="preserve">Otros gastos de operación</t>
  </si>
  <si>
    <t xml:space="preserve">is.other_operating_income</t>
  </si>
  <si>
    <t xml:space="preserve">Otros ingresos de operación</t>
  </si>
  <si>
    <t xml:space="preserve">is.operating_profit_reported</t>
  </si>
  <si>
    <t xml:space="preserve">Utilidad operativa (reportado)</t>
  </si>
  <si>
    <t xml:space="preserve">is.nonoperating_income</t>
  </si>
  <si>
    <t xml:space="preserve">Otros ingresos no operativos (sin intereses)</t>
  </si>
  <si>
    <t xml:space="preserve">Debe excluir intereses ganados</t>
  </si>
  <si>
    <t xml:space="preserve">is.interest_income</t>
  </si>
  <si>
    <t xml:space="preserve">Intereses ganados (línea propia)</t>
  </si>
  <si>
    <t xml:space="preserve">Opción A (D-051): se suma aparte de otros ingresos no operativos</t>
  </si>
  <si>
    <t xml:space="preserve">is.noninterest_nonoperating_expenses</t>
  </si>
  <si>
    <t xml:space="preserve">Gastos no operativos (sin intereses)</t>
  </si>
  <si>
    <t xml:space="preserve">Gastos no operativos sin intereses</t>
  </si>
  <si>
    <t xml:space="preserve">is.interest_expense</t>
  </si>
  <si>
    <t xml:space="preserve">Gastos por intereses</t>
  </si>
  <si>
    <t xml:space="preserve">is.income_tax_expense</t>
  </si>
  <si>
    <t xml:space="preserve">Impuesto sobre la renta</t>
  </si>
  <si>
    <t xml:space="preserve">is.net_income_reported</t>
  </si>
  <si>
    <t xml:space="preserve">Utilidad neta (reportado)</t>
  </si>
  <si>
    <t xml:space="preserve">Vacío: se calcula con la fórmula de utilidad neta</t>
  </si>
  <si>
    <t xml:space="preserve">Ventas a crédito y pagos a proveedores (flujo del año)</t>
  </si>
  <si>
    <t xml:space="preserve">supp.credit_sales</t>
  </si>
  <si>
    <t xml:space="preserve">Ventas a crédito</t>
  </si>
  <si>
    <t xml:space="preserve">Ventas a crédito y pagos a proveedores</t>
  </si>
  <si>
    <t xml:space="preserve">Flujo del año; ventas a crédito</t>
  </si>
  <si>
    <t xml:space="preserve">supp.supplier_payments</t>
  </si>
  <si>
    <t xml:space="preserve">Pagos a proveedores</t>
  </si>
  <si>
    <t xml:space="preserve">Flujo del año; pagos a proveedores</t>
  </si>
  <si>
    <t xml:space="preserve">Balance (saldo de cierre)</t>
  </si>
  <si>
    <t xml:space="preserve">bs.cash_and_equivalents</t>
  </si>
  <si>
    <t xml:space="preserve">Efectivo y equivalentes</t>
  </si>
  <si>
    <t xml:space="preserve">Balance</t>
  </si>
  <si>
    <t xml:space="preserve">bs.short_term_investments</t>
  </si>
  <si>
    <t xml:space="preserve">Inversiones de corto plazo</t>
  </si>
  <si>
    <t xml:space="preserve">bs.trade_receivables</t>
  </si>
  <si>
    <t xml:space="preserve">Cuentas por cobrar comerciales</t>
  </si>
  <si>
    <t xml:space="preserve">bs.other_current_receivables</t>
  </si>
  <si>
    <t xml:space="preserve">Otras cuentas por cobrar</t>
  </si>
  <si>
    <t xml:space="preserve">bs.prepaid_expenses</t>
  </si>
  <si>
    <t xml:space="preserve">Gastos pagados por anticipado</t>
  </si>
  <si>
    <t xml:space="preserve">bs.other_current_assets</t>
  </si>
  <si>
    <t xml:space="preserve">Otros activos corrientes</t>
  </si>
  <si>
    <t xml:space="preserve">bs.inventory_merchandise</t>
  </si>
  <si>
    <t xml:space="preserve">Inventario de mercancía</t>
  </si>
  <si>
    <t xml:space="preserve">bs.inventory_raw_materials</t>
  </si>
  <si>
    <t xml:space="preserve">Inventario de materia prima</t>
  </si>
  <si>
    <t xml:space="preserve">bs.inventory_work_in_process</t>
  </si>
  <si>
    <t xml:space="preserve">Inventario en proceso</t>
  </si>
  <si>
    <t xml:space="preserve">bs.inventory_finished_goods</t>
  </si>
  <si>
    <t xml:space="preserve">Inventario de producto terminado</t>
  </si>
  <si>
    <t xml:space="preserve">bs.inventory_total</t>
  </si>
  <si>
    <t xml:space="preserve">Inventarios total (reportado)</t>
  </si>
  <si>
    <t xml:space="preserve">bs.current_assets_total</t>
  </si>
  <si>
    <t xml:space="preserve">Activo corriente total (reportado)</t>
  </si>
  <si>
    <t xml:space="preserve">bs.ppe_land</t>
  </si>
  <si>
    <t xml:space="preserve">Terrenos</t>
  </si>
  <si>
    <t xml:space="preserve">bs.ppe_buildings</t>
  </si>
  <si>
    <t xml:space="preserve">Edificios</t>
  </si>
  <si>
    <t xml:space="preserve">bs.ppe_machinery</t>
  </si>
  <si>
    <t xml:space="preserve">Maquinaria</t>
  </si>
  <si>
    <t xml:space="preserve">bs.ppe_vehicles</t>
  </si>
  <si>
    <t xml:space="preserve">Vehículos</t>
  </si>
  <si>
    <t xml:space="preserve">bs.ppe_furniture</t>
  </si>
  <si>
    <t xml:space="preserve">Mobiliario</t>
  </si>
  <si>
    <t xml:space="preserve">bs.ppe_other</t>
  </si>
  <si>
    <t xml:space="preserve">Otros activos fijos</t>
  </si>
  <si>
    <t xml:space="preserve">bs.accumulated_depreciation</t>
  </si>
  <si>
    <t xml:space="preserve">Depreciación acumulada</t>
  </si>
  <si>
    <t xml:space="preserve">Negativa: se suma con su signo</t>
  </si>
  <si>
    <t xml:space="preserve">bs.fixed_assets_net_total</t>
  </si>
  <si>
    <t xml:space="preserve">Activos fijos netos (reportado)</t>
  </si>
  <si>
    <t xml:space="preserve">bs.intangible_assets</t>
  </si>
  <si>
    <t xml:space="preserve">Activos intangibles</t>
  </si>
  <si>
    <t xml:space="preserve">bs.long_term_investments</t>
  </si>
  <si>
    <t xml:space="preserve">Inversiones de largo plazo</t>
  </si>
  <si>
    <t xml:space="preserve">bs.other_noncurrent_assets</t>
  </si>
  <si>
    <t xml:space="preserve">Otros activos no corrientes</t>
  </si>
  <si>
    <t xml:space="preserve">bs.total_assets</t>
  </si>
  <si>
    <t xml:space="preserve">Activo total (reportado)</t>
  </si>
  <si>
    <t xml:space="preserve">Reportado: coincide con la suma de componentes</t>
  </si>
  <si>
    <t xml:space="preserve">bs.trade_payables</t>
  </si>
  <si>
    <t xml:space="preserve">Cuentas por pagar comerciales</t>
  </si>
  <si>
    <t xml:space="preserve">Saldo de cierre; 2022 no existe en el ejemplo</t>
  </si>
  <si>
    <t xml:space="preserve">bs.short_term_borrowings</t>
  </si>
  <si>
    <t xml:space="preserve">Préstamos de corto plazo</t>
  </si>
  <si>
    <t xml:space="preserve">bs.current_portion_long_term_debt</t>
  </si>
  <si>
    <t xml:space="preserve">Porción corriente de deuda de largo plazo</t>
  </si>
  <si>
    <t xml:space="preserve">bs.taxes_payable</t>
  </si>
  <si>
    <t xml:space="preserve">Impuestos por pagar</t>
  </si>
  <si>
    <t xml:space="preserve">bs.accrued_expenses_payable</t>
  </si>
  <si>
    <t xml:space="preserve">Gastos acumulados por pagar</t>
  </si>
  <si>
    <t xml:space="preserve">bs.current_provisions</t>
  </si>
  <si>
    <t xml:space="preserve">Provisiones corrientes</t>
  </si>
  <si>
    <t xml:space="preserve">bs.other_current_liabilities</t>
  </si>
  <si>
    <t xml:space="preserve">Otros pasivos corrientes</t>
  </si>
  <si>
    <t xml:space="preserve">bs.current_liabilities_total</t>
  </si>
  <si>
    <t xml:space="preserve">Pasivo corriente total (reportado)</t>
  </si>
  <si>
    <t xml:space="preserve">bs.long_term_borrowings</t>
  </si>
  <si>
    <t xml:space="preserve">Préstamos de largo plazo</t>
  </si>
  <si>
    <t xml:space="preserve">bs.long_term_provisions</t>
  </si>
  <si>
    <t xml:space="preserve">Provisiones de largo plazo</t>
  </si>
  <si>
    <t xml:space="preserve">bs.other_noncurrent_liabilities</t>
  </si>
  <si>
    <t xml:space="preserve">Otros pasivos no corrientes</t>
  </si>
  <si>
    <t xml:space="preserve">bs.total_liabilities</t>
  </si>
  <si>
    <t xml:space="preserve">Pasivo total (reportado)</t>
  </si>
  <si>
    <t xml:space="preserve">bs.share_capital</t>
  </si>
  <si>
    <t xml:space="preserve">Capital social</t>
  </si>
  <si>
    <t xml:space="preserve">bs.additional_paid_in_capital</t>
  </si>
  <si>
    <t xml:space="preserve">Aportes adicionales de capital</t>
  </si>
  <si>
    <t xml:space="preserve">bs.legal_reserve</t>
  </si>
  <si>
    <t xml:space="preserve">Reserva legal</t>
  </si>
  <si>
    <t xml:space="preserve">bs.other_reserves</t>
  </si>
  <si>
    <t xml:space="preserve">Otras reservas</t>
  </si>
  <si>
    <t xml:space="preserve">bs.retained_earnings</t>
  </si>
  <si>
    <t xml:space="preserve">Utilidades retenidas</t>
  </si>
  <si>
    <t xml:space="preserve">Utilidades 2023 + utilidad neta 2024 − reserva legal 2024; sin dividendos en el ejemplo</t>
  </si>
  <si>
    <t xml:space="preserve">bs.current_year_result_equity</t>
  </si>
  <si>
    <t xml:space="preserve">Resultado del ejercicio en patrimonio</t>
  </si>
  <si>
    <t xml:space="preserve">bs.other_equity_components</t>
  </si>
  <si>
    <t xml:space="preserve">Otros componentes de patrimonio</t>
  </si>
  <si>
    <t xml:space="preserve">bs.total_equity</t>
  </si>
  <si>
    <t xml:space="preserve">Patrimonio total (reportado)</t>
  </si>
  <si>
    <t xml:space="preserve">Derivados (fórmulas del JSON; utilidad neta con opción A)</t>
  </si>
  <si>
    <t xml:space="preserve">Nombre</t>
  </si>
  <si>
    <t xml:space="preserve">Tipo</t>
  </si>
  <si>
    <t xml:space="preserve">derived.cost_of_sales</t>
  </si>
  <si>
    <t xml:space="preserve">Costo de ventas</t>
  </si>
  <si>
    <t xml:space="preserve">Flujo</t>
  </si>
  <si>
    <t xml:space="preserve">derived.inventory_total</t>
  </si>
  <si>
    <t xml:space="preserve">Inventarios total</t>
  </si>
  <si>
    <t xml:space="preserve">derived.credit_purchases</t>
  </si>
  <si>
    <t xml:space="preserve">Compras a crédito</t>
  </si>
  <si>
    <t xml:space="preserve">derived.gross_sales</t>
  </si>
  <si>
    <t xml:space="preserve">Ventas brutas</t>
  </si>
  <si>
    <t xml:space="preserve">derived.sales_deductions</t>
  </si>
  <si>
    <t xml:space="preserve">Deducciones sobre ventas</t>
  </si>
  <si>
    <t xml:space="preserve">derived.net_sales</t>
  </si>
  <si>
    <t xml:space="preserve">Ventas netas</t>
  </si>
  <si>
    <t xml:space="preserve">derived.fixed_assets_net</t>
  </si>
  <si>
    <t xml:space="preserve">Activos fijos netos</t>
  </si>
  <si>
    <t xml:space="preserve">derived.current_assets</t>
  </si>
  <si>
    <t xml:space="preserve">Activo corriente</t>
  </si>
  <si>
    <t xml:space="preserve">derived.total_assets</t>
  </si>
  <si>
    <t xml:space="preserve">Activo total</t>
  </si>
  <si>
    <t xml:space="preserve">derived.gross_profit</t>
  </si>
  <si>
    <t xml:space="preserve">Utilidad bruta</t>
  </si>
  <si>
    <t xml:space="preserve">derived.operating_expenses</t>
  </si>
  <si>
    <t xml:space="preserve">Gastos de operación</t>
  </si>
  <si>
    <t xml:space="preserve">derived.operating_profit</t>
  </si>
  <si>
    <t xml:space="preserve">Utilidad operativa</t>
  </si>
  <si>
    <t xml:space="preserve">derived.current_liabilities</t>
  </si>
  <si>
    <t xml:space="preserve">Pasivo corriente</t>
  </si>
  <si>
    <t xml:space="preserve">derived.noncurrent_liabilities</t>
  </si>
  <si>
    <t xml:space="preserve">Pasivo no corriente</t>
  </si>
  <si>
    <t xml:space="preserve">derived.total_liabilities</t>
  </si>
  <si>
    <t xml:space="preserve">Pasivo total</t>
  </si>
  <si>
    <t xml:space="preserve">derived.total_equity</t>
  </si>
  <si>
    <t xml:space="preserve">Patrimonio total</t>
  </si>
  <si>
    <t xml:space="preserve">derived.net_income</t>
  </si>
  <si>
    <t xml:space="preserve">Utilidad neta (con intereses, opción A)</t>
  </si>
  <si>
    <t xml:space="preserve">Incluye is.interest_income (opción A); el JSON actual aún no lo tiene (ronda 14)</t>
  </si>
  <si>
    <t xml:space="preserve">control.balance</t>
  </si>
  <si>
    <t xml:space="preserve">Comprobación: activo total − (pasivo total + patrimonio) = 0</t>
  </si>
  <si>
    <t xml:space="preserve">Razones financieras: 20 razones, 2023 y 2024 (fórmulas del JSON)</t>
  </si>
  <si>
    <t xml:space="preserve">Razón</t>
  </si>
  <si>
    <t xml:space="preserve">Unidad</t>
  </si>
  <si>
    <t xml:space="preserve">Modo</t>
  </si>
  <si>
    <t xml:space="preserve">Fórmula (texto del JSON)</t>
  </si>
  <si>
    <t xml:space="preserve">actividad_ciclo_conversion_efectivo</t>
  </si>
  <si>
    <t xml:space="preserve">Ciclo de conversión de efectivo</t>
  </si>
  <si>
    <t xml:space="preserve">dias</t>
  </si>
  <si>
    <t xml:space="preserve">flow_with_average_balance</t>
  </si>
  <si>
    <t xml:space="preserve">Edad del inventario + Período de cobro − Período de pago</t>
  </si>
  <si>
    <t xml:space="preserve">actividad_edad_promedio_inventario</t>
  </si>
  <si>
    <t xml:space="preserve">Edad promedio del inventario</t>
  </si>
  <si>
    <t xml:space="preserve">365 / Rotación de inventarios</t>
  </si>
  <si>
    <t xml:space="preserve">actividad_periodo_promedio_cobro</t>
  </si>
  <si>
    <t xml:space="preserve">Período promedio de cobro</t>
  </si>
  <si>
    <t xml:space="preserve">365 / Rotación de CxC</t>
  </si>
  <si>
    <t xml:space="preserve">actividad_periodo_promedio_pago</t>
  </si>
  <si>
    <t xml:space="preserve">Período promedio de pago</t>
  </si>
  <si>
    <t xml:space="preserve">365 / Rotación de CxP</t>
  </si>
  <si>
    <t xml:space="preserve">actividad_rotacion_activos_fijos</t>
  </si>
  <si>
    <t xml:space="preserve">Rotación de activos fijos</t>
  </si>
  <si>
    <t xml:space="preserve">veces</t>
  </si>
  <si>
    <t xml:space="preserve">Ventas netas / Activos fijos netos promedio</t>
  </si>
  <si>
    <t xml:space="preserve">actividad_rotacion_activos_totales</t>
  </si>
  <si>
    <t xml:space="preserve">Rotación de activos totales</t>
  </si>
  <si>
    <t xml:space="preserve">Ventas netas / Activos totales promedio</t>
  </si>
  <si>
    <t xml:space="preserve">actividad_rotacion_cuentas_por_cobrar</t>
  </si>
  <si>
    <t xml:space="preserve">Rotación de cuentas por cobrar</t>
  </si>
  <si>
    <t xml:space="preserve">Ventas a crédito / CxC promedio</t>
  </si>
  <si>
    <t xml:space="preserve">actividad_rotacion_cuentas_por_pagar</t>
  </si>
  <si>
    <t xml:space="preserve">Rotación de cuentas por pagar</t>
  </si>
  <si>
    <t xml:space="preserve">Compras a crédito / CxP promedio</t>
  </si>
  <si>
    <t xml:space="preserve">actividad_rotacion_inventarios</t>
  </si>
  <si>
    <t xml:space="preserve">Rotación de inventarios</t>
  </si>
  <si>
    <t xml:space="preserve">Costo de ventas / Inventario promedio</t>
  </si>
  <si>
    <t xml:space="preserve">endeudamiento_cobertura_interes</t>
  </si>
  <si>
    <t xml:space="preserve">Cobertura de interés</t>
  </si>
  <si>
    <t xml:space="preserve">point_in_time</t>
  </si>
  <si>
    <t xml:space="preserve">Utilidad operativa / Gastos por intereses</t>
  </si>
  <si>
    <t xml:space="preserve">endeudamiento_razon_deuda_patrimonio</t>
  </si>
  <si>
    <t xml:space="preserve">Razón deuda-patrimonio</t>
  </si>
  <si>
    <t xml:space="preserve">Total pasivo / Total patrimonio</t>
  </si>
  <si>
    <t xml:space="preserve">endeudamiento_razon_deuda_total</t>
  </si>
  <si>
    <t xml:space="preserve">Razón de deuda total</t>
  </si>
  <si>
    <t xml:space="preserve">porcentaje</t>
  </si>
  <si>
    <t xml:space="preserve">Total pasivo / Total activo</t>
  </si>
  <si>
    <t xml:space="preserve">liquidez_capital_trabajo_neto</t>
  </si>
  <si>
    <t xml:space="preserve">Capital de trabajo neto</t>
  </si>
  <si>
    <t xml:space="preserve">moneda</t>
  </si>
  <si>
    <t xml:space="preserve">Activo corriente − Pasivo corriente</t>
  </si>
  <si>
    <t xml:space="preserve">liquidez_prueba_acida</t>
  </si>
  <si>
    <t xml:space="preserve">Prueba ácida</t>
  </si>
  <si>
    <t xml:space="preserve">(Activo corriente − Inventarios) / Pasivo corriente</t>
  </si>
  <si>
    <t xml:space="preserve">liquidez_razon_corriente</t>
  </si>
  <si>
    <t xml:space="preserve">Razón corriente</t>
  </si>
  <si>
    <t xml:space="preserve">Activo corriente / Pasivo corriente</t>
  </si>
  <si>
    <t xml:space="preserve">rentabilidad_margen_utilidad_bruta</t>
  </si>
  <si>
    <t xml:space="preserve">Margen de utilidad bruta</t>
  </si>
  <si>
    <t xml:space="preserve">Utilidad bruta / Ventas</t>
  </si>
  <si>
    <t xml:space="preserve">rentabilidad_margen_utilidad_neta</t>
  </si>
  <si>
    <t xml:space="preserve">Margen de utilidad neta</t>
  </si>
  <si>
    <t xml:space="preserve">Utilidad neta / Ventas</t>
  </si>
  <si>
    <t xml:space="preserve">rentabilidad_margen_utilidad_operativa</t>
  </si>
  <si>
    <t xml:space="preserve">Margen de utilidad operativa</t>
  </si>
  <si>
    <t xml:space="preserve">Utilidad operativa / Ventas</t>
  </si>
  <si>
    <t xml:space="preserve">rentabilidad_roa</t>
  </si>
  <si>
    <t xml:space="preserve">ROA</t>
  </si>
  <si>
    <t xml:space="preserve">Utilidad neta / Activos totales promedio</t>
  </si>
  <si>
    <t xml:space="preserve">rentabilidad_roe</t>
  </si>
  <si>
    <t xml:space="preserve">ROE</t>
  </si>
  <si>
    <t xml:space="preserve">Utilidad neta / Patrimonio promedio</t>
  </si>
  <si>
    <t xml:space="preserve">Valores esperados (referencia fija, calculados con las fórmulas del JSON)</t>
  </si>
  <si>
    <t xml:space="preserve">2023 (control apagado)</t>
  </si>
  <si>
    <t xml:space="preserve">2024 (control apagado)</t>
  </si>
  <si>
    <t xml:space="preserve">2023 (control encendido)</t>
  </si>
  <si>
    <t xml:space="preserve">N/D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</si>
</sst>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General"/>
    <numFmt numFmtId="166" formatCode="#,##0;\-#,##0"/>
    <numFmt numFmtId="167" formatCode="#,##0.00"/>
    <numFmt numFmtId="168" formatCode="#,##0.00&quot; %&quot;"/>
    <numFmt numFmtId="169" formatCode="#,##0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Cambria"/>
      <family val="0"/>
      <charset val="1"/>
    </font>
    <font>
      <b val="true"/>
      <sz val="11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7D6"/>
        <bgColor rgb="FFFFFFFF"/>
      </patternFill>
    </fill>
    <fill>
      <patternFill patternType="solid">
        <fgColor rgb="FFDDE6F0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2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7D6"/>
      <rgbColor rgb="FFDDE6F0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</v>
      </c>
    </row>
    <row r="4" customFormat="false" ht="15" hidden="false" customHeight="false" outlineLevel="0" collapsed="false">
      <c r="A4" s="2" t="s">
        <v>2</v>
      </c>
    </row>
    <row r="5" customFormat="false" ht="15" hidden="false" customHeight="false" outlineLevel="0" collapsed="false">
      <c r="A5" s="0" t="s">
        <v>3</v>
      </c>
    </row>
    <row r="6" customFormat="false" ht="15" hidden="false" customHeight="false" outlineLevel="0" collapsed="false">
      <c r="A6" s="0" t="s">
        <v>4</v>
      </c>
    </row>
    <row r="7" customFormat="false" ht="15" hidden="false" customHeight="false" outlineLevel="0" collapsed="false">
      <c r="A7" s="0" t="s">
        <v>5</v>
      </c>
    </row>
    <row r="9" customFormat="false" ht="15" hidden="false" customHeight="false" outlineLevel="0" collapsed="false">
      <c r="A9" s="2" t="s">
        <v>6</v>
      </c>
    </row>
    <row r="10" customFormat="false" ht="15" hidden="false" customHeight="false" outlineLevel="0" collapsed="false">
      <c r="A10" s="0" t="s">
        <v>7</v>
      </c>
    </row>
    <row r="11" customFormat="false" ht="15" hidden="false" customHeight="false" outlineLevel="0" collapsed="false">
      <c r="A11" s="0" t="s">
        <v>8</v>
      </c>
    </row>
    <row r="13" customFormat="false" ht="15" hidden="false" customHeight="false" outlineLevel="0" collapsed="false">
      <c r="A13" s="2" t="s">
        <v>9</v>
      </c>
    </row>
    <row r="14" customFormat="false" ht="15" hidden="false" customHeight="false" outlineLevel="0" collapsed="false">
      <c r="A14" s="0" t="s">
        <v>10</v>
      </c>
    </row>
    <row r="15" customFormat="false" ht="15" hidden="false" customHeight="false" outlineLevel="0" collapsed="false">
      <c r="A15" s="0" t="s">
        <v>11</v>
      </c>
    </row>
    <row r="16" customFormat="false" ht="15" hidden="false" customHeight="false" outlineLevel="0" collapsed="false">
      <c r="A16" s="0" t="s">
        <v>12</v>
      </c>
    </row>
    <row r="17" customFormat="false" ht="15" hidden="false" customHeight="false" outlineLevel="0" collapsed="false">
      <c r="A17" s="0" t="s">
        <v>13</v>
      </c>
    </row>
    <row r="18" customFormat="false" ht="15" hidden="false" customHeight="false" outlineLevel="0" collapsed="false">
      <c r="A18" s="0" t="s">
        <v>14</v>
      </c>
    </row>
    <row r="19" customFormat="false" ht="15" hidden="false" customHeight="false" outlineLevel="0" collapsed="false">
      <c r="A19" s="0" t="s">
        <v>15</v>
      </c>
    </row>
    <row r="20" customFormat="false" ht="15" hidden="false" customHeight="false" outlineLevel="0" collapsed="false">
      <c r="A20" s="0" t="s">
        <v>16</v>
      </c>
    </row>
    <row r="21" customFormat="false" ht="15" hidden="false" customHeight="false" outlineLevel="0" collapsed="false">
      <c r="A21" s="0" t="s">
        <v>17</v>
      </c>
    </row>
    <row r="22" customFormat="false" ht="15" hidden="false" customHeight="false" outlineLevel="0" collapsed="false">
      <c r="A22" s="0" t="s">
        <v>18</v>
      </c>
    </row>
    <row r="23" customFormat="false" ht="15" hidden="false" customHeight="false" outlineLevel="0" collapsed="false">
      <c r="A23" s="0" t="s">
        <v>19</v>
      </c>
    </row>
    <row r="24" customFormat="false" ht="15" hidden="false" customHeight="false" outlineLevel="0" collapsed="false">
      <c r="A24" s="0" t="s">
        <v>20</v>
      </c>
    </row>
    <row r="25" customFormat="false" ht="15" hidden="false" customHeight="false" outlineLevel="0" collapsed="false">
      <c r="A25" s="0" t="s">
        <v>21</v>
      </c>
    </row>
    <row r="27" customFormat="false" ht="15" hidden="false" customHeight="false" outlineLevel="0" collapsed="false">
      <c r="A27" s="2" t="s">
        <v>22</v>
      </c>
    </row>
    <row r="28" customFormat="false" ht="15" hidden="false" customHeight="false" outlineLevel="0" collapsed="false">
      <c r="A28" s="0" t="s">
        <v>23</v>
      </c>
    </row>
    <row r="29" customFormat="false" ht="15" hidden="false" customHeight="false" outlineLevel="0" collapsed="false">
      <c r="A29" s="0" t="s">
        <v>24</v>
      </c>
    </row>
    <row r="30" customFormat="false" ht="15" hidden="false" customHeight="false" outlineLevel="0" collapsed="false">
      <c r="A30" s="0" t="s">
        <v>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5" topLeftCell="D6" activePane="bottomRight" state="frozen"/>
      <selection pane="topLeft" activeCell="A1" activeCellId="0" sqref="A1"/>
      <selection pane="topRight" activeCell="D1" activeCellId="0" sqref="D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46"/>
    <col collapsed="false" customWidth="true" hidden="false" outlineLevel="0" max="3" min="3" style="0" width="30"/>
    <col collapsed="false" customWidth="true" hidden="false" outlineLevel="0" max="5" min="4" style="0" width="14"/>
    <col collapsed="false" customWidth="true" hidden="false" outlineLevel="0" max="6" min="6" style="0" width="70"/>
  </cols>
  <sheetData>
    <row r="1" customFormat="false" ht="17.35" hidden="false" customHeight="false" outlineLevel="0" collapsed="false">
      <c r="A1" s="1" t="s">
        <v>26</v>
      </c>
    </row>
    <row r="3" customFormat="false" ht="15" hidden="false" customHeight="false" outlineLevel="0" collapsed="false">
      <c r="A3" s="2" t="s">
        <v>27</v>
      </c>
      <c r="D3" s="3" t="b">
        <f aca="false">FALSE()</f>
        <v>0</v>
      </c>
    </row>
    <row r="5" customFormat="false" ht="15" hidden="false" customHeight="false" outlineLevel="0" collapsed="false">
      <c r="A5" s="4" t="s">
        <v>28</v>
      </c>
      <c r="B5" s="4" t="s">
        <v>29</v>
      </c>
      <c r="C5" s="4" t="s">
        <v>30</v>
      </c>
      <c r="D5" s="4" t="s">
        <v>31</v>
      </c>
      <c r="E5" s="4" t="s">
        <v>32</v>
      </c>
      <c r="F5" s="4" t="s">
        <v>33</v>
      </c>
    </row>
    <row r="6" customFormat="false" ht="15" hidden="false" customHeight="false" outlineLevel="0" collapsed="false">
      <c r="A6" s="2" t="s">
        <v>34</v>
      </c>
    </row>
    <row r="7" customFormat="false" ht="15" hidden="false" customHeight="false" outlineLevel="0" collapsed="false">
      <c r="A7" s="0" t="s">
        <v>35</v>
      </c>
      <c r="B7" s="0" t="s">
        <v>36</v>
      </c>
      <c r="C7" s="0" t="s">
        <v>37</v>
      </c>
      <c r="D7" s="5" t="n">
        <v>500000</v>
      </c>
      <c r="E7" s="5" t="n">
        <v>600000</v>
      </c>
    </row>
    <row r="8" customFormat="false" ht="15" hidden="false" customHeight="false" outlineLevel="0" collapsed="false">
      <c r="A8" s="0" t="s">
        <v>38</v>
      </c>
      <c r="B8" s="0" t="s">
        <v>39</v>
      </c>
      <c r="C8" s="0" t="s">
        <v>37</v>
      </c>
      <c r="D8" s="5" t="n">
        <v>100000</v>
      </c>
      <c r="E8" s="5" t="n">
        <v>120000</v>
      </c>
    </row>
    <row r="9" customFormat="false" ht="15" hidden="false" customHeight="false" outlineLevel="0" collapsed="false">
      <c r="A9" s="0" t="s">
        <v>40</v>
      </c>
      <c r="B9" s="0" t="s">
        <v>41</v>
      </c>
      <c r="C9" s="0" t="s">
        <v>37</v>
      </c>
      <c r="D9" s="5" t="n">
        <v>0</v>
      </c>
      <c r="E9" s="5" t="n">
        <v>0</v>
      </c>
    </row>
    <row r="10" customFormat="false" ht="15" hidden="false" customHeight="false" outlineLevel="0" collapsed="false">
      <c r="A10" s="0" t="s">
        <v>42</v>
      </c>
      <c r="B10" s="0" t="s">
        <v>43</v>
      </c>
      <c r="C10" s="0" t="s">
        <v>37</v>
      </c>
      <c r="D10" s="5"/>
      <c r="E10" s="5"/>
      <c r="F10" s="6" t="s">
        <v>44</v>
      </c>
    </row>
    <row r="11" customFormat="false" ht="15" hidden="false" customHeight="false" outlineLevel="0" collapsed="false">
      <c r="A11" s="0" t="s">
        <v>45</v>
      </c>
      <c r="B11" s="0" t="s">
        <v>46</v>
      </c>
      <c r="C11" s="0" t="s">
        <v>37</v>
      </c>
      <c r="D11" s="5" t="n">
        <v>10000</v>
      </c>
      <c r="E11" s="5" t="n">
        <v>12000</v>
      </c>
    </row>
    <row r="12" customFormat="false" ht="15" hidden="false" customHeight="false" outlineLevel="0" collapsed="false">
      <c r="A12" s="0" t="s">
        <v>47</v>
      </c>
      <c r="B12" s="0" t="s">
        <v>48</v>
      </c>
      <c r="C12" s="0" t="s">
        <v>37</v>
      </c>
      <c r="D12" s="5" t="n">
        <v>5000</v>
      </c>
      <c r="E12" s="5" t="n">
        <v>6000</v>
      </c>
    </row>
    <row r="13" customFormat="false" ht="15" hidden="false" customHeight="false" outlineLevel="0" collapsed="false">
      <c r="A13" s="0" t="s">
        <v>49</v>
      </c>
      <c r="B13" s="0" t="s">
        <v>50</v>
      </c>
      <c r="C13" s="0" t="s">
        <v>37</v>
      </c>
      <c r="D13" s="5" t="n">
        <v>0</v>
      </c>
      <c r="E13" s="5" t="n">
        <v>2000</v>
      </c>
    </row>
    <row r="14" customFormat="false" ht="15" hidden="false" customHeight="false" outlineLevel="0" collapsed="false">
      <c r="A14" s="0" t="s">
        <v>51</v>
      </c>
      <c r="B14" s="0" t="s">
        <v>52</v>
      </c>
      <c r="C14" s="0" t="s">
        <v>37</v>
      </c>
      <c r="D14" s="5"/>
      <c r="E14" s="5"/>
      <c r="F14" s="6" t="s">
        <v>53</v>
      </c>
    </row>
    <row r="15" customFormat="false" ht="15" hidden="false" customHeight="false" outlineLevel="0" collapsed="false">
      <c r="A15" s="0" t="s">
        <v>54</v>
      </c>
      <c r="B15" s="0" t="s">
        <v>55</v>
      </c>
      <c r="C15" s="0" t="s">
        <v>37</v>
      </c>
      <c r="D15" s="5" t="n">
        <v>250000</v>
      </c>
      <c r="E15" s="5" t="n">
        <v>300000</v>
      </c>
    </row>
    <row r="16" customFormat="false" ht="15" hidden="false" customHeight="false" outlineLevel="0" collapsed="false">
      <c r="A16" s="0" t="s">
        <v>56</v>
      </c>
      <c r="B16" s="0" t="s">
        <v>57</v>
      </c>
      <c r="C16" s="0" t="s">
        <v>37</v>
      </c>
      <c r="D16" s="5" t="n">
        <v>60000</v>
      </c>
      <c r="E16" s="5" t="n">
        <v>70000</v>
      </c>
    </row>
    <row r="17" customFormat="false" ht="15" hidden="false" customHeight="false" outlineLevel="0" collapsed="false">
      <c r="A17" s="0" t="s">
        <v>58</v>
      </c>
      <c r="B17" s="0" t="s">
        <v>59</v>
      </c>
      <c r="C17" s="0" t="s">
        <v>37</v>
      </c>
      <c r="D17" s="5" t="n">
        <v>40000</v>
      </c>
      <c r="E17" s="5" t="n">
        <v>45000</v>
      </c>
    </row>
    <row r="18" customFormat="false" ht="15" hidden="false" customHeight="false" outlineLevel="0" collapsed="false">
      <c r="A18" s="0" t="s">
        <v>60</v>
      </c>
      <c r="B18" s="0" t="s">
        <v>61</v>
      </c>
      <c r="C18" s="0" t="s">
        <v>37</v>
      </c>
      <c r="D18" s="5"/>
      <c r="E18" s="5"/>
      <c r="F18" s="6" t="s">
        <v>53</v>
      </c>
    </row>
    <row r="19" customFormat="false" ht="15" hidden="false" customHeight="false" outlineLevel="0" collapsed="false">
      <c r="A19" s="0" t="s">
        <v>62</v>
      </c>
      <c r="B19" s="0" t="s">
        <v>63</v>
      </c>
      <c r="C19" s="0" t="s">
        <v>37</v>
      </c>
      <c r="D19" s="5"/>
      <c r="E19" s="5"/>
      <c r="F19" s="6" t="s">
        <v>53</v>
      </c>
    </row>
    <row r="20" customFormat="false" ht="15" hidden="false" customHeight="false" outlineLevel="0" collapsed="false">
      <c r="A20" s="0" t="s">
        <v>64</v>
      </c>
      <c r="B20" s="0" t="s">
        <v>65</v>
      </c>
      <c r="C20" s="0" t="s">
        <v>37</v>
      </c>
      <c r="D20" s="5" t="n">
        <v>60000</v>
      </c>
      <c r="E20" s="5" t="n">
        <v>66000</v>
      </c>
    </row>
    <row r="21" customFormat="false" ht="15" hidden="false" customHeight="false" outlineLevel="0" collapsed="false">
      <c r="A21" s="0" t="s">
        <v>66</v>
      </c>
      <c r="B21" s="0" t="s">
        <v>67</v>
      </c>
      <c r="C21" s="0" t="s">
        <v>37</v>
      </c>
      <c r="D21" s="5" t="n">
        <v>70000</v>
      </c>
      <c r="E21" s="5" t="n">
        <v>72000</v>
      </c>
    </row>
    <row r="22" customFormat="false" ht="15" hidden="false" customHeight="false" outlineLevel="0" collapsed="false">
      <c r="A22" s="0" t="s">
        <v>68</v>
      </c>
      <c r="B22" s="0" t="s">
        <v>69</v>
      </c>
      <c r="C22" s="0" t="s">
        <v>37</v>
      </c>
      <c r="D22" s="5" t="n">
        <v>15000</v>
      </c>
      <c r="E22" s="5" t="n">
        <v>16000</v>
      </c>
    </row>
    <row r="23" customFormat="false" ht="15" hidden="false" customHeight="false" outlineLevel="0" collapsed="false">
      <c r="A23" s="0" t="s">
        <v>70</v>
      </c>
      <c r="B23" s="0" t="s">
        <v>71</v>
      </c>
      <c r="C23" s="0" t="s">
        <v>37</v>
      </c>
      <c r="D23" s="5" t="n">
        <v>2000</v>
      </c>
      <c r="E23" s="5" t="n">
        <v>2000</v>
      </c>
    </row>
    <row r="24" customFormat="false" ht="15" hidden="false" customHeight="false" outlineLevel="0" collapsed="false">
      <c r="A24" s="0" t="s">
        <v>72</v>
      </c>
      <c r="B24" s="0" t="s">
        <v>73</v>
      </c>
      <c r="C24" s="0" t="s">
        <v>37</v>
      </c>
      <c r="D24" s="5" t="n">
        <v>3000</v>
      </c>
      <c r="E24" s="5" t="n">
        <v>4000</v>
      </c>
    </row>
    <row r="25" customFormat="false" ht="15" hidden="false" customHeight="false" outlineLevel="0" collapsed="false">
      <c r="A25" s="0" t="s">
        <v>74</v>
      </c>
      <c r="B25" s="0" t="s">
        <v>75</v>
      </c>
      <c r="C25" s="0" t="s">
        <v>37</v>
      </c>
      <c r="D25" s="5" t="n">
        <v>5000</v>
      </c>
      <c r="E25" s="5" t="n">
        <v>6000</v>
      </c>
    </row>
    <row r="26" customFormat="false" ht="15" hidden="false" customHeight="false" outlineLevel="0" collapsed="false">
      <c r="A26" s="0" t="s">
        <v>76</v>
      </c>
      <c r="B26" s="0" t="s">
        <v>77</v>
      </c>
      <c r="C26" s="0" t="s">
        <v>37</v>
      </c>
      <c r="D26" s="5"/>
      <c r="E26" s="5"/>
      <c r="F26" s="6" t="s">
        <v>53</v>
      </c>
    </row>
    <row r="27" customFormat="false" ht="15" hidden="false" customHeight="false" outlineLevel="0" collapsed="false">
      <c r="A27" s="0" t="s">
        <v>78</v>
      </c>
      <c r="B27" s="0" t="s">
        <v>79</v>
      </c>
      <c r="C27" s="0" t="s">
        <v>37</v>
      </c>
      <c r="D27" s="5" t="n">
        <v>4000</v>
      </c>
      <c r="E27" s="5" t="n">
        <v>3000</v>
      </c>
      <c r="F27" s="6" t="s">
        <v>80</v>
      </c>
    </row>
    <row r="28" customFormat="false" ht="15" hidden="false" customHeight="false" outlineLevel="0" collapsed="false">
      <c r="A28" s="0" t="s">
        <v>81</v>
      </c>
      <c r="B28" s="0" t="s">
        <v>82</v>
      </c>
      <c r="C28" s="0" t="s">
        <v>37</v>
      </c>
      <c r="D28" s="5" t="n">
        <v>8000</v>
      </c>
      <c r="E28" s="5" t="n">
        <v>10000</v>
      </c>
      <c r="F28" s="6" t="s">
        <v>83</v>
      </c>
    </row>
    <row r="29" customFormat="false" ht="15" hidden="false" customHeight="false" outlineLevel="0" collapsed="false">
      <c r="A29" s="0" t="s">
        <v>84</v>
      </c>
      <c r="B29" s="0" t="s">
        <v>85</v>
      </c>
      <c r="C29" s="0" t="s">
        <v>37</v>
      </c>
      <c r="D29" s="5" t="n">
        <v>2000</v>
      </c>
      <c r="E29" s="5" t="n">
        <v>1000</v>
      </c>
      <c r="F29" s="6" t="s">
        <v>86</v>
      </c>
    </row>
    <row r="30" customFormat="false" ht="15" hidden="false" customHeight="false" outlineLevel="0" collapsed="false">
      <c r="A30" s="0" t="s">
        <v>87</v>
      </c>
      <c r="B30" s="0" t="s">
        <v>88</v>
      </c>
      <c r="C30" s="0" t="s">
        <v>37</v>
      </c>
      <c r="D30" s="5" t="n">
        <v>12000</v>
      </c>
      <c r="E30" s="5" t="n">
        <v>11000</v>
      </c>
    </row>
    <row r="31" customFormat="false" ht="15" hidden="false" customHeight="false" outlineLevel="0" collapsed="false">
      <c r="A31" s="0" t="s">
        <v>89</v>
      </c>
      <c r="B31" s="0" t="s">
        <v>90</v>
      </c>
      <c r="C31" s="0" t="s">
        <v>37</v>
      </c>
      <c r="D31" s="5" t="n">
        <v>22000</v>
      </c>
      <c r="E31" s="5" t="n">
        <v>33000</v>
      </c>
    </row>
    <row r="32" customFormat="false" ht="15" hidden="false" customHeight="false" outlineLevel="0" collapsed="false">
      <c r="A32" s="0" t="s">
        <v>91</v>
      </c>
      <c r="B32" s="0" t="s">
        <v>92</v>
      </c>
      <c r="C32" s="0" t="s">
        <v>37</v>
      </c>
      <c r="D32" s="5"/>
      <c r="E32" s="5"/>
      <c r="F32" s="6" t="s">
        <v>93</v>
      </c>
    </row>
    <row r="34" customFormat="false" ht="15" hidden="false" customHeight="false" outlineLevel="0" collapsed="false">
      <c r="A34" s="2" t="s">
        <v>94</v>
      </c>
    </row>
    <row r="35" customFormat="false" ht="15" hidden="false" customHeight="false" outlineLevel="0" collapsed="false">
      <c r="A35" s="0" t="s">
        <v>95</v>
      </c>
      <c r="B35" s="0" t="s">
        <v>96</v>
      </c>
      <c r="C35" s="0" t="s">
        <v>97</v>
      </c>
      <c r="D35" s="5" t="n">
        <v>400000</v>
      </c>
      <c r="E35" s="5" t="n">
        <v>480000</v>
      </c>
      <c r="F35" s="6" t="s">
        <v>98</v>
      </c>
    </row>
    <row r="36" customFormat="false" ht="15" hidden="false" customHeight="false" outlineLevel="0" collapsed="false">
      <c r="A36" s="0" t="s">
        <v>99</v>
      </c>
      <c r="B36" s="0" t="s">
        <v>100</v>
      </c>
      <c r="C36" s="0" t="s">
        <v>97</v>
      </c>
      <c r="D36" s="5" t="n">
        <v>300000</v>
      </c>
      <c r="E36" s="5" t="n">
        <v>330000</v>
      </c>
      <c r="F36" s="6" t="s">
        <v>101</v>
      </c>
    </row>
    <row r="38" customFormat="false" ht="15" hidden="false" customHeight="false" outlineLevel="0" collapsed="false">
      <c r="A38" s="2" t="s">
        <v>102</v>
      </c>
    </row>
    <row r="39" customFormat="false" ht="15" hidden="false" customHeight="false" outlineLevel="0" collapsed="false">
      <c r="A39" s="0" t="s">
        <v>103</v>
      </c>
      <c r="B39" s="0" t="s">
        <v>104</v>
      </c>
      <c r="C39" s="0" t="s">
        <v>105</v>
      </c>
      <c r="D39" s="5" t="n">
        <v>40000</v>
      </c>
      <c r="E39" s="5" t="n">
        <v>55000</v>
      </c>
    </row>
    <row r="40" customFormat="false" ht="15" hidden="false" customHeight="false" outlineLevel="0" collapsed="false">
      <c r="A40" s="0" t="s">
        <v>106</v>
      </c>
      <c r="B40" s="0" t="s">
        <v>107</v>
      </c>
      <c r="C40" s="0" t="s">
        <v>105</v>
      </c>
      <c r="D40" s="5" t="n">
        <v>10000</v>
      </c>
      <c r="E40" s="5" t="n">
        <v>10000</v>
      </c>
    </row>
    <row r="41" customFormat="false" ht="15" hidden="false" customHeight="false" outlineLevel="0" collapsed="false">
      <c r="A41" s="0" t="s">
        <v>108</v>
      </c>
      <c r="B41" s="0" t="s">
        <v>109</v>
      </c>
      <c r="C41" s="0" t="s">
        <v>105</v>
      </c>
      <c r="D41" s="5" t="n">
        <v>80000</v>
      </c>
      <c r="E41" s="5" t="n">
        <v>90000</v>
      </c>
    </row>
    <row r="42" customFormat="false" ht="15" hidden="false" customHeight="false" outlineLevel="0" collapsed="false">
      <c r="A42" s="0" t="s">
        <v>110</v>
      </c>
      <c r="B42" s="0" t="s">
        <v>111</v>
      </c>
      <c r="C42" s="0" t="s">
        <v>105</v>
      </c>
      <c r="D42" s="5" t="n">
        <v>5000</v>
      </c>
      <c r="E42" s="5" t="n">
        <v>6000</v>
      </c>
    </row>
    <row r="43" customFormat="false" ht="15" hidden="false" customHeight="false" outlineLevel="0" collapsed="false">
      <c r="A43" s="0" t="s">
        <v>112</v>
      </c>
      <c r="B43" s="0" t="s">
        <v>113</v>
      </c>
      <c r="C43" s="0" t="s">
        <v>105</v>
      </c>
      <c r="D43" s="5" t="n">
        <v>3000</v>
      </c>
      <c r="E43" s="5" t="n">
        <v>4000</v>
      </c>
    </row>
    <row r="44" customFormat="false" ht="15" hidden="false" customHeight="false" outlineLevel="0" collapsed="false">
      <c r="A44" s="0" t="s">
        <v>114</v>
      </c>
      <c r="B44" s="0" t="s">
        <v>115</v>
      </c>
      <c r="C44" s="0" t="s">
        <v>105</v>
      </c>
      <c r="D44" s="5" t="n">
        <v>2000</v>
      </c>
      <c r="E44" s="5" t="n">
        <v>2000</v>
      </c>
    </row>
    <row r="45" customFormat="false" ht="15" hidden="false" customHeight="false" outlineLevel="0" collapsed="false">
      <c r="A45" s="0" t="s">
        <v>116</v>
      </c>
      <c r="B45" s="0" t="s">
        <v>117</v>
      </c>
      <c r="C45" s="0" t="s">
        <v>105</v>
      </c>
      <c r="D45" s="5" t="n">
        <v>60000</v>
      </c>
      <c r="E45" s="5" t="n">
        <v>70000</v>
      </c>
    </row>
    <row r="46" customFormat="false" ht="15" hidden="false" customHeight="false" outlineLevel="0" collapsed="false">
      <c r="A46" s="0" t="s">
        <v>118</v>
      </c>
      <c r="B46" s="0" t="s">
        <v>119</v>
      </c>
      <c r="C46" s="0" t="s">
        <v>105</v>
      </c>
      <c r="D46" s="5" t="n">
        <v>10000</v>
      </c>
      <c r="E46" s="5" t="n">
        <v>12000</v>
      </c>
    </row>
    <row r="47" customFormat="false" ht="15" hidden="false" customHeight="false" outlineLevel="0" collapsed="false">
      <c r="A47" s="0" t="s">
        <v>120</v>
      </c>
      <c r="B47" s="0" t="s">
        <v>121</v>
      </c>
      <c r="C47" s="0" t="s">
        <v>105</v>
      </c>
      <c r="D47" s="5" t="n">
        <v>5000</v>
      </c>
      <c r="E47" s="5" t="n">
        <v>6000</v>
      </c>
    </row>
    <row r="48" customFormat="false" ht="15" hidden="false" customHeight="false" outlineLevel="0" collapsed="false">
      <c r="A48" s="0" t="s">
        <v>122</v>
      </c>
      <c r="B48" s="0" t="s">
        <v>123</v>
      </c>
      <c r="C48" s="0" t="s">
        <v>105</v>
      </c>
      <c r="D48" s="5" t="n">
        <v>15000</v>
      </c>
      <c r="E48" s="5" t="n">
        <v>17000</v>
      </c>
    </row>
    <row r="49" customFormat="false" ht="15" hidden="false" customHeight="false" outlineLevel="0" collapsed="false">
      <c r="A49" s="0" t="s">
        <v>124</v>
      </c>
      <c r="B49" s="0" t="s">
        <v>125</v>
      </c>
      <c r="C49" s="0" t="s">
        <v>105</v>
      </c>
      <c r="D49" s="5"/>
      <c r="E49" s="5"/>
      <c r="F49" s="6" t="s">
        <v>53</v>
      </c>
    </row>
    <row r="50" customFormat="false" ht="15" hidden="false" customHeight="false" outlineLevel="0" collapsed="false">
      <c r="A50" s="0" t="s">
        <v>126</v>
      </c>
      <c r="B50" s="0" t="s">
        <v>127</v>
      </c>
      <c r="C50" s="0" t="s">
        <v>105</v>
      </c>
      <c r="D50" s="5"/>
      <c r="E50" s="5"/>
      <c r="F50" s="6" t="s">
        <v>53</v>
      </c>
    </row>
    <row r="51" customFormat="false" ht="15" hidden="false" customHeight="false" outlineLevel="0" collapsed="false">
      <c r="A51" s="0" t="s">
        <v>128</v>
      </c>
      <c r="B51" s="0" t="s">
        <v>129</v>
      </c>
      <c r="C51" s="0" t="s">
        <v>105</v>
      </c>
      <c r="D51" s="5" t="n">
        <v>50000</v>
      </c>
      <c r="E51" s="5" t="n">
        <v>50000</v>
      </c>
    </row>
    <row r="52" customFormat="false" ht="15" hidden="false" customHeight="false" outlineLevel="0" collapsed="false">
      <c r="A52" s="0" t="s">
        <v>130</v>
      </c>
      <c r="B52" s="0" t="s">
        <v>131</v>
      </c>
      <c r="C52" s="0" t="s">
        <v>105</v>
      </c>
      <c r="D52" s="5" t="n">
        <v>120000</v>
      </c>
      <c r="E52" s="5" t="n">
        <v>120000</v>
      </c>
    </row>
    <row r="53" customFormat="false" ht="15" hidden="false" customHeight="false" outlineLevel="0" collapsed="false">
      <c r="A53" s="0" t="s">
        <v>132</v>
      </c>
      <c r="B53" s="0" t="s">
        <v>133</v>
      </c>
      <c r="C53" s="0" t="s">
        <v>105</v>
      </c>
      <c r="D53" s="5" t="n">
        <v>150000</v>
      </c>
      <c r="E53" s="5" t="n">
        <v>170000</v>
      </c>
    </row>
    <row r="54" customFormat="false" ht="15" hidden="false" customHeight="false" outlineLevel="0" collapsed="false">
      <c r="A54" s="0" t="s">
        <v>134</v>
      </c>
      <c r="B54" s="0" t="s">
        <v>135</v>
      </c>
      <c r="C54" s="0" t="s">
        <v>105</v>
      </c>
      <c r="D54" s="5" t="n">
        <v>30000</v>
      </c>
      <c r="E54" s="5" t="n">
        <v>30000</v>
      </c>
    </row>
    <row r="55" customFormat="false" ht="15" hidden="false" customHeight="false" outlineLevel="0" collapsed="false">
      <c r="A55" s="0" t="s">
        <v>136</v>
      </c>
      <c r="B55" s="0" t="s">
        <v>137</v>
      </c>
      <c r="C55" s="0" t="s">
        <v>105</v>
      </c>
      <c r="D55" s="5" t="n">
        <v>10000</v>
      </c>
      <c r="E55" s="5" t="n">
        <v>12000</v>
      </c>
    </row>
    <row r="56" customFormat="false" ht="15" hidden="false" customHeight="false" outlineLevel="0" collapsed="false">
      <c r="A56" s="0" t="s">
        <v>138</v>
      </c>
      <c r="B56" s="0" t="s">
        <v>139</v>
      </c>
      <c r="C56" s="0" t="s">
        <v>105</v>
      </c>
      <c r="D56" s="5" t="n">
        <v>5000</v>
      </c>
      <c r="E56" s="5" t="n">
        <v>5000</v>
      </c>
    </row>
    <row r="57" customFormat="false" ht="15" hidden="false" customHeight="false" outlineLevel="0" collapsed="false">
      <c r="A57" s="0" t="s">
        <v>140</v>
      </c>
      <c r="B57" s="0" t="s">
        <v>141</v>
      </c>
      <c r="C57" s="0" t="s">
        <v>105</v>
      </c>
      <c r="D57" s="5" t="n">
        <v>-60000</v>
      </c>
      <c r="E57" s="5" t="n">
        <v>-76000</v>
      </c>
      <c r="F57" s="6" t="s">
        <v>142</v>
      </c>
    </row>
    <row r="58" customFormat="false" ht="15" hidden="false" customHeight="false" outlineLevel="0" collapsed="false">
      <c r="A58" s="0" t="s">
        <v>143</v>
      </c>
      <c r="B58" s="0" t="s">
        <v>144</v>
      </c>
      <c r="C58" s="0" t="s">
        <v>105</v>
      </c>
      <c r="D58" s="5"/>
      <c r="E58" s="5"/>
      <c r="F58" s="6" t="s">
        <v>53</v>
      </c>
    </row>
    <row r="59" customFormat="false" ht="15" hidden="false" customHeight="false" outlineLevel="0" collapsed="false">
      <c r="A59" s="0" t="s">
        <v>145</v>
      </c>
      <c r="B59" s="0" t="s">
        <v>146</v>
      </c>
      <c r="C59" s="0" t="s">
        <v>105</v>
      </c>
      <c r="D59" s="5" t="n">
        <v>10000</v>
      </c>
      <c r="E59" s="5" t="n">
        <v>8000</v>
      </c>
    </row>
    <row r="60" customFormat="false" ht="15" hidden="false" customHeight="false" outlineLevel="0" collapsed="false">
      <c r="A60" s="0" t="s">
        <v>147</v>
      </c>
      <c r="B60" s="0" t="s">
        <v>148</v>
      </c>
      <c r="C60" s="0" t="s">
        <v>105</v>
      </c>
      <c r="D60" s="5" t="n">
        <v>20000</v>
      </c>
      <c r="E60" s="5" t="n">
        <v>20000</v>
      </c>
    </row>
    <row r="61" customFormat="false" ht="15" hidden="false" customHeight="false" outlineLevel="0" collapsed="false">
      <c r="A61" s="0" t="s">
        <v>149</v>
      </c>
      <c r="B61" s="0" t="s">
        <v>150</v>
      </c>
      <c r="C61" s="0" t="s">
        <v>105</v>
      </c>
      <c r="D61" s="5" t="n">
        <v>5000</v>
      </c>
      <c r="E61" s="5" t="n">
        <v>5000</v>
      </c>
    </row>
    <row r="62" customFormat="false" ht="15" hidden="false" customHeight="false" outlineLevel="0" collapsed="false">
      <c r="A62" s="0" t="s">
        <v>151</v>
      </c>
      <c r="B62" s="0" t="s">
        <v>152</v>
      </c>
      <c r="C62" s="0" t="s">
        <v>105</v>
      </c>
      <c r="D62" s="5" t="n">
        <v>570000</v>
      </c>
      <c r="E62" s="5" t="n">
        <v>616000</v>
      </c>
      <c r="F62" s="6" t="s">
        <v>153</v>
      </c>
    </row>
    <row r="63" customFormat="false" ht="15" hidden="false" customHeight="false" outlineLevel="0" collapsed="false">
      <c r="A63" s="0" t="s">
        <v>154</v>
      </c>
      <c r="B63" s="0" t="s">
        <v>155</v>
      </c>
      <c r="C63" s="0" t="s">
        <v>105</v>
      </c>
      <c r="D63" s="5" t="n">
        <v>70000</v>
      </c>
      <c r="E63" s="5" t="n">
        <v>80000</v>
      </c>
      <c r="F63" s="6" t="s">
        <v>156</v>
      </c>
    </row>
    <row r="64" customFormat="false" ht="15" hidden="false" customHeight="false" outlineLevel="0" collapsed="false">
      <c r="A64" s="0" t="s">
        <v>157</v>
      </c>
      <c r="B64" s="0" t="s">
        <v>158</v>
      </c>
      <c r="C64" s="0" t="s">
        <v>105</v>
      </c>
      <c r="D64" s="5" t="n">
        <v>30000</v>
      </c>
      <c r="E64" s="5" t="n">
        <v>25000</v>
      </c>
    </row>
    <row r="65" customFormat="false" ht="15" hidden="false" customHeight="false" outlineLevel="0" collapsed="false">
      <c r="A65" s="0" t="s">
        <v>159</v>
      </c>
      <c r="B65" s="0" t="s">
        <v>160</v>
      </c>
      <c r="C65" s="0" t="s">
        <v>105</v>
      </c>
      <c r="D65" s="5" t="n">
        <v>20000</v>
      </c>
      <c r="E65" s="5" t="n">
        <v>20000</v>
      </c>
    </row>
    <row r="66" customFormat="false" ht="15" hidden="false" customHeight="false" outlineLevel="0" collapsed="false">
      <c r="A66" s="0" t="s">
        <v>161</v>
      </c>
      <c r="B66" s="0" t="s">
        <v>162</v>
      </c>
      <c r="C66" s="0" t="s">
        <v>105</v>
      </c>
      <c r="D66" s="5" t="n">
        <v>8000</v>
      </c>
      <c r="E66" s="5" t="n">
        <v>9000</v>
      </c>
    </row>
    <row r="67" customFormat="false" ht="15" hidden="false" customHeight="false" outlineLevel="0" collapsed="false">
      <c r="A67" s="0" t="s">
        <v>163</v>
      </c>
      <c r="B67" s="0" t="s">
        <v>164</v>
      </c>
      <c r="C67" s="0" t="s">
        <v>105</v>
      </c>
      <c r="D67" s="5" t="n">
        <v>5000</v>
      </c>
      <c r="E67" s="5" t="n">
        <v>6000</v>
      </c>
    </row>
    <row r="68" customFormat="false" ht="15" hidden="false" customHeight="false" outlineLevel="0" collapsed="false">
      <c r="A68" s="0" t="s">
        <v>165</v>
      </c>
      <c r="B68" s="0" t="s">
        <v>166</v>
      </c>
      <c r="C68" s="0" t="s">
        <v>105</v>
      </c>
      <c r="D68" s="5" t="n">
        <v>3000</v>
      </c>
      <c r="E68" s="5" t="n">
        <v>3000</v>
      </c>
    </row>
    <row r="69" customFormat="false" ht="15" hidden="false" customHeight="false" outlineLevel="0" collapsed="false">
      <c r="A69" s="0" t="s">
        <v>167</v>
      </c>
      <c r="B69" s="0" t="s">
        <v>168</v>
      </c>
      <c r="C69" s="0" t="s">
        <v>105</v>
      </c>
      <c r="D69" s="5" t="n">
        <v>2000</v>
      </c>
      <c r="E69" s="5" t="n">
        <v>2000</v>
      </c>
    </row>
    <row r="70" customFormat="false" ht="15" hidden="false" customHeight="false" outlineLevel="0" collapsed="false">
      <c r="A70" s="0" t="s">
        <v>169</v>
      </c>
      <c r="B70" s="0" t="s">
        <v>170</v>
      </c>
      <c r="C70" s="0" t="s">
        <v>105</v>
      </c>
      <c r="D70" s="5"/>
      <c r="E70" s="5"/>
      <c r="F70" s="6" t="s">
        <v>53</v>
      </c>
    </row>
    <row r="71" customFormat="false" ht="15" hidden="false" customHeight="false" outlineLevel="0" collapsed="false">
      <c r="A71" s="0" t="s">
        <v>171</v>
      </c>
      <c r="B71" s="0" t="s">
        <v>172</v>
      </c>
      <c r="C71" s="0" t="s">
        <v>105</v>
      </c>
      <c r="D71" s="5" t="n">
        <v>150000</v>
      </c>
      <c r="E71" s="5" t="n">
        <v>90000</v>
      </c>
    </row>
    <row r="72" customFormat="false" ht="15" hidden="false" customHeight="false" outlineLevel="0" collapsed="false">
      <c r="A72" s="0" t="s">
        <v>173</v>
      </c>
      <c r="B72" s="0" t="s">
        <v>174</v>
      </c>
      <c r="C72" s="0" t="s">
        <v>105</v>
      </c>
      <c r="D72" s="5" t="n">
        <v>10000</v>
      </c>
      <c r="E72" s="5" t="n">
        <v>10000</v>
      </c>
    </row>
    <row r="73" customFormat="false" ht="15" hidden="false" customHeight="false" outlineLevel="0" collapsed="false">
      <c r="A73" s="0" t="s">
        <v>175</v>
      </c>
      <c r="B73" s="0" t="s">
        <v>176</v>
      </c>
      <c r="C73" s="0" t="s">
        <v>105</v>
      </c>
      <c r="D73" s="5" t="n">
        <v>5000</v>
      </c>
      <c r="E73" s="5" t="n">
        <v>5000</v>
      </c>
    </row>
    <row r="74" customFormat="false" ht="15" hidden="false" customHeight="false" outlineLevel="0" collapsed="false">
      <c r="A74" s="0" t="s">
        <v>177</v>
      </c>
      <c r="B74" s="0" t="s">
        <v>178</v>
      </c>
      <c r="C74" s="0" t="s">
        <v>105</v>
      </c>
      <c r="D74" s="5"/>
      <c r="E74" s="5"/>
      <c r="F74" s="6" t="s">
        <v>53</v>
      </c>
    </row>
    <row r="75" customFormat="false" ht="15" hidden="false" customHeight="false" outlineLevel="0" collapsed="false">
      <c r="A75" s="0" t="s">
        <v>179</v>
      </c>
      <c r="B75" s="0" t="s">
        <v>180</v>
      </c>
      <c r="C75" s="0" t="s">
        <v>105</v>
      </c>
      <c r="D75" s="5" t="n">
        <v>150000</v>
      </c>
      <c r="E75" s="5" t="n">
        <v>150000</v>
      </c>
    </row>
    <row r="76" customFormat="false" ht="15" hidden="false" customHeight="false" outlineLevel="0" collapsed="false">
      <c r="A76" s="0" t="s">
        <v>181</v>
      </c>
      <c r="B76" s="0" t="s">
        <v>182</v>
      </c>
      <c r="C76" s="0" t="s">
        <v>105</v>
      </c>
      <c r="D76" s="5" t="n">
        <v>10000</v>
      </c>
      <c r="E76" s="5" t="n">
        <v>10000</v>
      </c>
    </row>
    <row r="77" customFormat="false" ht="15" hidden="false" customHeight="false" outlineLevel="0" collapsed="false">
      <c r="A77" s="0" t="s">
        <v>183</v>
      </c>
      <c r="B77" s="0" t="s">
        <v>184</v>
      </c>
      <c r="C77" s="0" t="s">
        <v>105</v>
      </c>
      <c r="D77" s="5" t="n">
        <v>10000</v>
      </c>
      <c r="E77" s="5" t="n">
        <v>15000</v>
      </c>
    </row>
    <row r="78" customFormat="false" ht="15" hidden="false" customHeight="false" outlineLevel="0" collapsed="false">
      <c r="A78" s="0" t="s">
        <v>185</v>
      </c>
      <c r="B78" s="0" t="s">
        <v>186</v>
      </c>
      <c r="C78" s="0" t="s">
        <v>105</v>
      </c>
      <c r="D78" s="5" t="n">
        <v>0</v>
      </c>
      <c r="E78" s="5" t="n">
        <v>0</v>
      </c>
    </row>
    <row r="79" customFormat="false" ht="15" hidden="false" customHeight="false" outlineLevel="0" collapsed="false">
      <c r="A79" s="0" t="s">
        <v>187</v>
      </c>
      <c r="B79" s="0" t="s">
        <v>188</v>
      </c>
      <c r="C79" s="0" t="s">
        <v>105</v>
      </c>
      <c r="D79" s="5" t="n">
        <v>97000</v>
      </c>
      <c r="E79" s="5" t="n">
        <v>191000</v>
      </c>
      <c r="F79" s="6" t="s">
        <v>189</v>
      </c>
    </row>
    <row r="80" customFormat="false" ht="15" hidden="false" customHeight="false" outlineLevel="0" collapsed="false">
      <c r="A80" s="0" t="s">
        <v>190</v>
      </c>
      <c r="B80" s="0" t="s">
        <v>191</v>
      </c>
      <c r="C80" s="0" t="s">
        <v>105</v>
      </c>
      <c r="D80" s="5" t="n">
        <v>0</v>
      </c>
      <c r="E80" s="5" t="n">
        <v>0</v>
      </c>
    </row>
    <row r="81" customFormat="false" ht="15" hidden="false" customHeight="false" outlineLevel="0" collapsed="false">
      <c r="A81" s="0" t="s">
        <v>192</v>
      </c>
      <c r="B81" s="0" t="s">
        <v>193</v>
      </c>
      <c r="C81" s="0" t="s">
        <v>105</v>
      </c>
      <c r="D81" s="5" t="n">
        <v>0</v>
      </c>
      <c r="E81" s="5" t="n">
        <v>0</v>
      </c>
    </row>
    <row r="82" customFormat="false" ht="15" hidden="false" customHeight="false" outlineLevel="0" collapsed="false">
      <c r="A82" s="0" t="s">
        <v>194</v>
      </c>
      <c r="B82" s="0" t="s">
        <v>195</v>
      </c>
      <c r="C82" s="0" t="s">
        <v>105</v>
      </c>
      <c r="D82" s="5"/>
      <c r="E82" s="5"/>
      <c r="F82" s="6" t="s">
        <v>53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54"/>
    <col collapsed="false" customWidth="true" hidden="false" outlineLevel="0" max="3" min="3" style="0" width="10"/>
    <col collapsed="false" customWidth="true" hidden="false" outlineLevel="0" max="5" min="4" style="0" width="14"/>
    <col collapsed="false" customWidth="true" hidden="false" outlineLevel="0" max="6" min="6" style="0" width="60"/>
  </cols>
  <sheetData>
    <row r="1" customFormat="false" ht="17.35" hidden="false" customHeight="false" outlineLevel="0" collapsed="false">
      <c r="A1" s="1" t="s">
        <v>196</v>
      </c>
    </row>
    <row r="3" customFormat="false" ht="15" hidden="false" customHeight="false" outlineLevel="0" collapsed="false">
      <c r="A3" s="4" t="s">
        <v>28</v>
      </c>
      <c r="B3" s="4" t="s">
        <v>197</v>
      </c>
      <c r="C3" s="4" t="s">
        <v>198</v>
      </c>
      <c r="D3" s="4" t="s">
        <v>31</v>
      </c>
      <c r="E3" s="4" t="s">
        <v>32</v>
      </c>
      <c r="F3" s="4" t="s">
        <v>33</v>
      </c>
    </row>
    <row r="4" customFormat="false" ht="15" hidden="false" customHeight="false" outlineLevel="0" collapsed="false">
      <c r="A4" s="0" t="s">
        <v>199</v>
      </c>
      <c r="B4" s="0" t="s">
        <v>200</v>
      </c>
      <c r="C4" s="0" t="s">
        <v>201</v>
      </c>
      <c r="D4" s="7" t="n">
        <f aca="false">IF(ISNUMBER(Entradas!D18),Entradas!D18,IF(COUNT(Entradas!D15,Entradas!D16,Entradas!D17)=3,SUM(Entradas!D15,Entradas!D16,Entradas!D17),"N/D"))</f>
        <v>350000</v>
      </c>
      <c r="E4" s="7" t="n">
        <f aca="false">IF(ISNUMBER(Entradas!E18),Entradas!E18,IF(COUNT(Entradas!E15,Entradas!E16,Entradas!E17)=3,SUM(Entradas!E15,Entradas!E16,Entradas!E17),"N/D"))</f>
        <v>415000</v>
      </c>
    </row>
    <row r="5" customFormat="false" ht="15" hidden="false" customHeight="false" outlineLevel="0" collapsed="false">
      <c r="A5" s="0" t="s">
        <v>202</v>
      </c>
      <c r="B5" s="0" t="s">
        <v>203</v>
      </c>
      <c r="C5" s="0" t="s">
        <v>105</v>
      </c>
      <c r="D5" s="7" t="n">
        <f aca="false">IF(ISNUMBER(Entradas!D49),Entradas!D49,IF(COUNT(Entradas!D45,Entradas!D46,Entradas!D47,Entradas!D48)=4,SUM(Entradas!D45,Entradas!D46,Entradas!D47,Entradas!D48),"N/D"))</f>
        <v>90000</v>
      </c>
      <c r="E5" s="7" t="n">
        <f aca="false">IF(ISNUMBER(Entradas!E49),Entradas!E49,IF(COUNT(Entradas!E45,Entradas!E46,Entradas!E47,Entradas!E48)=4,SUM(Entradas!E45,Entradas!E46,Entradas!E47,Entradas!E48),"N/D"))</f>
        <v>105000</v>
      </c>
    </row>
    <row r="6" customFormat="false" ht="15" hidden="false" customHeight="false" outlineLevel="0" collapsed="false">
      <c r="A6" s="0" t="s">
        <v>204</v>
      </c>
      <c r="B6" s="0" t="s">
        <v>205</v>
      </c>
      <c r="C6" s="0" t="s">
        <v>201</v>
      </c>
      <c r="D6" s="7" t="str">
        <f aca="false">IF(AND(ISNUMBER(IF(AND(ISNUMBER(Entradas!D36),ISNUMBER(Entradas!D63)),Entradas!D36+Entradas!D63,"N/D")),ISNUMBER("N/D")),IF(AND(ISNUMBER(Entradas!D36),ISNUMBER(Entradas!D63)),Entradas!D36+Entradas!D63,"N/D")-"N/D","N/D")</f>
        <v>N/D</v>
      </c>
      <c r="E6" s="7" t="n">
        <f aca="false">IF(AND(ISNUMBER(IF(AND(ISNUMBER(Entradas!E36),ISNUMBER(Entradas!E63)),Entradas!E36+Entradas!E63,"N/D")),ISNUMBER(Entradas!D63)),IF(AND(ISNUMBER(Entradas!E36),ISNUMBER(Entradas!E63)),Entradas!E36+Entradas!E63,"N/D")-Entradas!D63,"N/D")</f>
        <v>340000</v>
      </c>
    </row>
    <row r="7" customFormat="false" ht="15" hidden="false" customHeight="false" outlineLevel="0" collapsed="false">
      <c r="A7" s="0" t="s">
        <v>206</v>
      </c>
      <c r="B7" s="0" t="s">
        <v>207</v>
      </c>
      <c r="C7" s="0" t="s">
        <v>201</v>
      </c>
      <c r="D7" s="7" t="n">
        <f aca="false">IF(ISNUMBER(Entradas!D10),Entradas!D10,IF(COUNT(Entradas!D7,Entradas!D8,Entradas!D9)=3,SUM(Entradas!D7,Entradas!D8,Entradas!D9),"N/D"))</f>
        <v>600000</v>
      </c>
      <c r="E7" s="7" t="n">
        <f aca="false">IF(ISNUMBER(Entradas!E10),Entradas!E10,IF(COUNT(Entradas!E7,Entradas!E8,Entradas!E9)=3,SUM(Entradas!E7,Entradas!E8,Entradas!E9),"N/D"))</f>
        <v>720000</v>
      </c>
    </row>
    <row r="8" customFormat="false" ht="15" hidden="false" customHeight="false" outlineLevel="0" collapsed="false">
      <c r="A8" s="0" t="s">
        <v>208</v>
      </c>
      <c r="B8" s="0" t="s">
        <v>209</v>
      </c>
      <c r="C8" s="0" t="s">
        <v>201</v>
      </c>
      <c r="D8" s="7" t="n">
        <f aca="false">IF(COUNT(Entradas!D11,Entradas!D12,Entradas!D13)=3,SUM(Entradas!D11,Entradas!D12,Entradas!D13),"N/D")</f>
        <v>15000</v>
      </c>
      <c r="E8" s="7" t="n">
        <f aca="false">IF(COUNT(Entradas!E11,Entradas!E12,Entradas!E13)=3,SUM(Entradas!E11,Entradas!E12,Entradas!E13),"N/D")</f>
        <v>20000</v>
      </c>
    </row>
    <row r="9" customFormat="false" ht="15" hidden="false" customHeight="false" outlineLevel="0" collapsed="false">
      <c r="A9" s="0" t="s">
        <v>210</v>
      </c>
      <c r="B9" s="0" t="s">
        <v>211</v>
      </c>
      <c r="C9" s="0" t="s">
        <v>201</v>
      </c>
      <c r="D9" s="7" t="n">
        <f aca="false">IF(ISNUMBER(Entradas!D14),Entradas!D14,IF(AND(ISNUMBER(Derivados!D7),ISNUMBER(Derivados!D8)),Derivados!D7-Derivados!D8,"N/D"))</f>
        <v>585000</v>
      </c>
      <c r="E9" s="7" t="n">
        <f aca="false">IF(ISNUMBER(Entradas!E14),Entradas!E14,IF(AND(ISNUMBER(Derivados!E7),ISNUMBER(Derivados!E8)),Derivados!E7-Derivados!E8,"N/D"))</f>
        <v>700000</v>
      </c>
    </row>
    <row r="10" customFormat="false" ht="15" hidden="false" customHeight="false" outlineLevel="0" collapsed="false">
      <c r="A10" s="0" t="s">
        <v>212</v>
      </c>
      <c r="B10" s="0" t="s">
        <v>213</v>
      </c>
      <c r="C10" s="0" t="s">
        <v>105</v>
      </c>
      <c r="D10" s="7" t="n">
        <f aca="false">IF(ISNUMBER(Entradas!D58),Entradas!D58,IF(AND(ISNUMBER(IF(COUNT(Entradas!D51,Entradas!D52,Entradas!D53,Entradas!D54,Entradas!D55,Entradas!D56)=6,SUM(Entradas!D51,Entradas!D52,Entradas!D53,Entradas!D54,Entradas!D55,Entradas!D56),"N/D")),ISNUMBER(Entradas!D57)),IF(COUNT(Entradas!D51,Entradas!D52,Entradas!D53,Entradas!D54,Entradas!D55,Entradas!D56)=6,SUM(Entradas!D51,Entradas!D52,Entradas!D53,Entradas!D54,Entradas!D55,Entradas!D56),"N/D")+Entradas!D57,"N/D"))</f>
        <v>305000</v>
      </c>
      <c r="E10" s="7" t="n">
        <f aca="false">IF(ISNUMBER(Entradas!E58),Entradas!E58,IF(AND(ISNUMBER(IF(COUNT(Entradas!E51,Entradas!E52,Entradas!E53,Entradas!E54,Entradas!E55,Entradas!E56)=6,SUM(Entradas!E51,Entradas!E52,Entradas!E53,Entradas!E54,Entradas!E55,Entradas!E56),"N/D")),ISNUMBER(Entradas!E57)),IF(COUNT(Entradas!E51,Entradas!E52,Entradas!E53,Entradas!E54,Entradas!E55,Entradas!E56)=6,SUM(Entradas!E51,Entradas!E52,Entradas!E53,Entradas!E54,Entradas!E55,Entradas!E56),"N/D")+Entradas!E57,"N/D"))</f>
        <v>311000</v>
      </c>
    </row>
    <row r="11" customFormat="false" ht="15" hidden="false" customHeight="false" outlineLevel="0" collapsed="false">
      <c r="A11" s="0" t="s">
        <v>214</v>
      </c>
      <c r="B11" s="0" t="s">
        <v>215</v>
      </c>
      <c r="C11" s="0" t="s">
        <v>105</v>
      </c>
      <c r="D11" s="7" t="n">
        <f aca="false">IF(ISNUMBER(Entradas!D50),Entradas!D50,IF(AND(ISNUMBER(IF(COUNT(Entradas!D39,Entradas!D40,Entradas!D41,Entradas!D42,Entradas!D43,Entradas!D44)=6,SUM(Entradas!D39,Entradas!D40,Entradas!D41,Entradas!D42,Entradas!D43,Entradas!D44),"N/D")),ISNUMBER(Derivados!D5)),IF(COUNT(Entradas!D39,Entradas!D40,Entradas!D41,Entradas!D42,Entradas!D43,Entradas!D44)=6,SUM(Entradas!D39,Entradas!D40,Entradas!D41,Entradas!D42,Entradas!D43,Entradas!D44),"N/D")+Derivados!D5,"N/D"))</f>
        <v>230000</v>
      </c>
      <c r="E11" s="7" t="n">
        <f aca="false">IF(ISNUMBER(Entradas!E50),Entradas!E50,IF(AND(ISNUMBER(IF(COUNT(Entradas!E39,Entradas!E40,Entradas!E41,Entradas!E42,Entradas!E43,Entradas!E44)=6,SUM(Entradas!E39,Entradas!E40,Entradas!E41,Entradas!E42,Entradas!E43,Entradas!E44),"N/D")),ISNUMBER(Derivados!E5)),IF(COUNT(Entradas!E39,Entradas!E40,Entradas!E41,Entradas!E42,Entradas!E43,Entradas!E44)=6,SUM(Entradas!E39,Entradas!E40,Entradas!E41,Entradas!E42,Entradas!E43,Entradas!E44),"N/D")+Derivados!E5,"N/D"))</f>
        <v>272000</v>
      </c>
    </row>
    <row r="12" customFormat="false" ht="15" hidden="false" customHeight="false" outlineLevel="0" collapsed="false">
      <c r="A12" s="0" t="s">
        <v>216</v>
      </c>
      <c r="B12" s="0" t="s">
        <v>217</v>
      </c>
      <c r="C12" s="0" t="s">
        <v>105</v>
      </c>
      <c r="D12" s="7" t="n">
        <f aca="false">IF(ISNUMBER(Entradas!D62),Entradas!D62,IF(AND(ISNUMBER(Derivados!D11),ISNUMBER(Derivados!D10),ISNUMBER(Entradas!D59),ISNUMBER(IF(COUNT(Entradas!D60,Entradas!D61)=2,SUM(Entradas!D60,Entradas!D61),"N/D"))),Derivados!D11+Derivados!D10+Entradas!D59+IF(COUNT(Entradas!D60,Entradas!D61)=2,SUM(Entradas!D60,Entradas!D61),"N/D"),"N/D"))</f>
        <v>570000</v>
      </c>
      <c r="E12" s="7" t="n">
        <f aca="false">IF(ISNUMBER(Entradas!E62),Entradas!E62,IF(AND(ISNUMBER(Derivados!E11),ISNUMBER(Derivados!E10),ISNUMBER(Entradas!E59),ISNUMBER(IF(COUNT(Entradas!E60,Entradas!E61)=2,SUM(Entradas!E60,Entradas!E61),"N/D"))),Derivados!E11+Derivados!E10+Entradas!E59+IF(COUNT(Entradas!E60,Entradas!E61)=2,SUM(Entradas!E60,Entradas!E61),"N/D"),"N/D"))</f>
        <v>616000</v>
      </c>
    </row>
    <row r="13" customFormat="false" ht="15" hidden="false" customHeight="false" outlineLevel="0" collapsed="false">
      <c r="A13" s="0" t="s">
        <v>218</v>
      </c>
      <c r="B13" s="0" t="s">
        <v>219</v>
      </c>
      <c r="C13" s="0" t="s">
        <v>201</v>
      </c>
      <c r="D13" s="7" t="n">
        <f aca="false">IF(ISNUMBER(Entradas!D19),Entradas!D19,IF(AND(ISNUMBER(Derivados!D9),ISNUMBER(Derivados!D4)),Derivados!D9-Derivados!D4,"N/D"))</f>
        <v>235000</v>
      </c>
      <c r="E13" s="7" t="n">
        <f aca="false">IF(ISNUMBER(Entradas!E19),Entradas!E19,IF(AND(ISNUMBER(Derivados!E9),ISNUMBER(Derivados!E4)),Derivados!E9-Derivados!E4,"N/D"))</f>
        <v>285000</v>
      </c>
    </row>
    <row r="14" customFormat="false" ht="15" hidden="false" customHeight="false" outlineLevel="0" collapsed="false">
      <c r="A14" s="0" t="s">
        <v>220</v>
      </c>
      <c r="B14" s="0" t="s">
        <v>221</v>
      </c>
      <c r="C14" s="0" t="s">
        <v>201</v>
      </c>
      <c r="D14" s="7" t="n">
        <f aca="false">IF(COUNT(Entradas!D20,Entradas!D21,Entradas!D22,Entradas!D23,Entradas!D24)=5,SUM(Entradas!D20,Entradas!D21,Entradas!D22,Entradas!D23,Entradas!D24),"N/D")</f>
        <v>150000</v>
      </c>
      <c r="E14" s="7" t="n">
        <f aca="false">IF(COUNT(Entradas!E20,Entradas!E21,Entradas!E22,Entradas!E23,Entradas!E24)=5,SUM(Entradas!E20,Entradas!E21,Entradas!E22,Entradas!E23,Entradas!E24),"N/D")</f>
        <v>160000</v>
      </c>
    </row>
    <row r="15" customFormat="false" ht="15" hidden="false" customHeight="false" outlineLevel="0" collapsed="false">
      <c r="A15" s="0" t="s">
        <v>222</v>
      </c>
      <c r="B15" s="0" t="s">
        <v>223</v>
      </c>
      <c r="C15" s="0" t="s">
        <v>201</v>
      </c>
      <c r="D15" s="7" t="n">
        <f aca="false">IF(ISNUMBER(Entradas!D26),Entradas!D26,IF(AND(ISNUMBER(IF(AND(ISNUMBER(Derivados!D13),ISNUMBER(Entradas!D25)),Derivados!D13+Entradas!D25,"N/D")),ISNUMBER(Derivados!D14)),IF(AND(ISNUMBER(Derivados!D13),ISNUMBER(Entradas!D25)),Derivados!D13+Entradas!D25,"N/D")-Derivados!D14,"N/D"))</f>
        <v>90000</v>
      </c>
      <c r="E15" s="7" t="n">
        <f aca="false">IF(ISNUMBER(Entradas!E26),Entradas!E26,IF(AND(ISNUMBER(IF(AND(ISNUMBER(Derivados!E13),ISNUMBER(Entradas!E25)),Derivados!E13+Entradas!E25,"N/D")),ISNUMBER(Derivados!E14)),IF(AND(ISNUMBER(Derivados!E13),ISNUMBER(Entradas!E25)),Derivados!E13+Entradas!E25,"N/D")-Derivados!E14,"N/D"))</f>
        <v>131000</v>
      </c>
    </row>
    <row r="16" customFormat="false" ht="15" hidden="false" customHeight="false" outlineLevel="0" collapsed="false">
      <c r="A16" s="0" t="s">
        <v>224</v>
      </c>
      <c r="B16" s="0" t="s">
        <v>225</v>
      </c>
      <c r="C16" s="0" t="s">
        <v>105</v>
      </c>
      <c r="D16" s="7" t="n">
        <f aca="false">IF(ISNUMBER(Entradas!D70),Entradas!D70,IF(COUNT(Entradas!D63,Entradas!D64,Entradas!D65,Entradas!D66,Entradas!D67,Entradas!D68,Entradas!D69)=7,SUM(Entradas!D63,Entradas!D64,Entradas!D65,Entradas!D66,Entradas!D67,Entradas!D68,Entradas!D69),"N/D"))</f>
        <v>138000</v>
      </c>
      <c r="E16" s="7" t="n">
        <f aca="false">IF(ISNUMBER(Entradas!E70),Entradas!E70,IF(COUNT(Entradas!E63,Entradas!E64,Entradas!E65,Entradas!E66,Entradas!E67,Entradas!E68,Entradas!E69)=7,SUM(Entradas!E63,Entradas!E64,Entradas!E65,Entradas!E66,Entradas!E67,Entradas!E68,Entradas!E69),"N/D"))</f>
        <v>145000</v>
      </c>
    </row>
    <row r="17" customFormat="false" ht="15" hidden="false" customHeight="false" outlineLevel="0" collapsed="false">
      <c r="A17" s="0" t="s">
        <v>226</v>
      </c>
      <c r="B17" s="0" t="s">
        <v>227</v>
      </c>
      <c r="C17" s="0" t="s">
        <v>105</v>
      </c>
      <c r="D17" s="7" t="n">
        <f aca="false">IF(COUNT(Entradas!D71,Entradas!D72,Entradas!D73)=3,SUM(Entradas!D71,Entradas!D72,Entradas!D73),"N/D")</f>
        <v>165000</v>
      </c>
      <c r="E17" s="7" t="n">
        <f aca="false">IF(COUNT(Entradas!E71,Entradas!E72,Entradas!E73)=3,SUM(Entradas!E71,Entradas!E72,Entradas!E73),"N/D")</f>
        <v>105000</v>
      </c>
    </row>
    <row r="18" customFormat="false" ht="15" hidden="false" customHeight="false" outlineLevel="0" collapsed="false">
      <c r="A18" s="0" t="s">
        <v>228</v>
      </c>
      <c r="B18" s="0" t="s">
        <v>229</v>
      </c>
      <c r="C18" s="0" t="s">
        <v>105</v>
      </c>
      <c r="D18" s="7" t="n">
        <f aca="false">IF(ISNUMBER(Entradas!D74),Entradas!D74,IF(AND(ISNUMBER(Derivados!D16),ISNUMBER(Derivados!D17)),Derivados!D16+Derivados!D17,"N/D"))</f>
        <v>303000</v>
      </c>
      <c r="E18" s="7" t="n">
        <f aca="false">IF(ISNUMBER(Entradas!E74),Entradas!E74,IF(AND(ISNUMBER(Derivados!E16),ISNUMBER(Derivados!E17)),Derivados!E16+Derivados!E17,"N/D"))</f>
        <v>250000</v>
      </c>
    </row>
    <row r="19" customFormat="false" ht="15" hidden="false" customHeight="false" outlineLevel="0" collapsed="false">
      <c r="A19" s="0" t="s">
        <v>230</v>
      </c>
      <c r="B19" s="0" t="s">
        <v>231</v>
      </c>
      <c r="C19" s="0" t="s">
        <v>105</v>
      </c>
      <c r="D19" s="7" t="n">
        <f aca="false">IF(ISNUMBER(Entradas!D82),Entradas!D82,IF(COUNT(Entradas!D75,Entradas!D76,Entradas!D77,Entradas!D78,Entradas!D79,Entradas!D80,Entradas!D81)=7,SUM(Entradas!D75,Entradas!D76,Entradas!D77,Entradas!D78,Entradas!D79,Entradas!D80,Entradas!D81),"N/D"))</f>
        <v>267000</v>
      </c>
      <c r="E19" s="7" t="n">
        <f aca="false">IF(ISNUMBER(Entradas!E82),Entradas!E82,IF(COUNT(Entradas!E75,Entradas!E76,Entradas!E77,Entradas!E78,Entradas!E79,Entradas!E80,Entradas!E81)=7,SUM(Entradas!E75,Entradas!E76,Entradas!E77,Entradas!E78,Entradas!E79,Entradas!E80,Entradas!E81),"N/D"))</f>
        <v>366000</v>
      </c>
    </row>
    <row r="20" customFormat="false" ht="15" hidden="false" customHeight="false" outlineLevel="0" collapsed="false">
      <c r="A20" s="0" t="s">
        <v>232</v>
      </c>
      <c r="B20" s="0" t="s">
        <v>233</v>
      </c>
      <c r="C20" s="0" t="s">
        <v>201</v>
      </c>
      <c r="D20" s="7" t="n">
        <f aca="false">IF(ISNUMBER(Entradas!D32),Entradas!D32,IF(AND(ISNUMBER(IF(AND(ISNUMBER(Derivados!D15),ISNUMBER(Entradas!D27),ISNUMBER(Entradas!D28)),Derivados!D15+Entradas!D27+Entradas!D28,"N/D")),ISNUMBER(IF(AND(ISNUMBER(Entradas!D29),ISNUMBER(Entradas!D30),ISNUMBER(Entradas!D31)),Entradas!D29+Entradas!D30+Entradas!D31,"N/D"))),IF(AND(ISNUMBER(Derivados!D15),ISNUMBER(Entradas!D27),ISNUMBER(Entradas!D28)),Derivados!D15+Entradas!D27+Entradas!D28,"N/D")-IF(AND(ISNUMBER(Entradas!D29),ISNUMBER(Entradas!D30),ISNUMBER(Entradas!D31)),Entradas!D29+Entradas!D30+Entradas!D31,"N/D"),"N/D"))</f>
        <v>66000</v>
      </c>
      <c r="E20" s="7" t="n">
        <f aca="false">IF(ISNUMBER(Entradas!E32),Entradas!E32,IF(AND(ISNUMBER(IF(AND(ISNUMBER(Derivados!E15),ISNUMBER(Entradas!E27),ISNUMBER(Entradas!E28)),Derivados!E15+Entradas!E27+Entradas!E28,"N/D")),ISNUMBER(IF(AND(ISNUMBER(Entradas!E29),ISNUMBER(Entradas!E30),ISNUMBER(Entradas!E31)),Entradas!E29+Entradas!E30+Entradas!E31,"N/D"))),IF(AND(ISNUMBER(Derivados!E15),ISNUMBER(Entradas!E27),ISNUMBER(Entradas!E28)),Derivados!E15+Entradas!E27+Entradas!E28,"N/D")-IF(AND(ISNUMBER(Entradas!E29),ISNUMBER(Entradas!E30),ISNUMBER(Entradas!E31)),Entradas!E29+Entradas!E30+Entradas!E31,"N/D"),"N/D"))</f>
        <v>99000</v>
      </c>
      <c r="F20" s="6" t="s">
        <v>234</v>
      </c>
    </row>
    <row r="22" customFormat="false" ht="15" hidden="false" customHeight="false" outlineLevel="0" collapsed="false">
      <c r="A22" s="2" t="s">
        <v>235</v>
      </c>
      <c r="B22" s="6" t="s">
        <v>236</v>
      </c>
      <c r="D22" s="7" t="n">
        <f aca="false">Derivados!D12-(Derivados!D18+Derivados!D19)</f>
        <v>0</v>
      </c>
      <c r="E22" s="7" t="n">
        <f aca="false">Derivados!E12-(Derivados!E18+Derivados!E19)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36"/>
    <col collapsed="false" customWidth="true" hidden="false" outlineLevel="0" max="3" min="3" style="0" width="12"/>
    <col collapsed="false" customWidth="true" hidden="false" outlineLevel="0" max="5" min="4" style="0" width="14"/>
    <col collapsed="false" customWidth="true" hidden="false" outlineLevel="0" max="6" min="6" style="0" width="26"/>
    <col collapsed="false" customWidth="true" hidden="false" outlineLevel="0" max="7" min="7" style="0" width="44"/>
  </cols>
  <sheetData>
    <row r="1" customFormat="false" ht="17.35" hidden="false" customHeight="false" outlineLevel="0" collapsed="false">
      <c r="A1" s="1" t="s">
        <v>237</v>
      </c>
    </row>
    <row r="3" customFormat="false" ht="15" hidden="false" customHeight="false" outlineLevel="0" collapsed="false">
      <c r="A3" s="4" t="s">
        <v>28</v>
      </c>
      <c r="B3" s="4" t="s">
        <v>238</v>
      </c>
      <c r="C3" s="4" t="s">
        <v>239</v>
      </c>
      <c r="D3" s="4" t="s">
        <v>31</v>
      </c>
      <c r="E3" s="4" t="s">
        <v>32</v>
      </c>
      <c r="F3" s="4" t="s">
        <v>240</v>
      </c>
      <c r="G3" s="4" t="s">
        <v>241</v>
      </c>
    </row>
    <row r="4" customFormat="false" ht="15" hidden="false" customHeight="false" outlineLevel="0" collapsed="false">
      <c r="A4" s="0" t="s">
        <v>242</v>
      </c>
      <c r="B4" s="0" t="s">
        <v>243</v>
      </c>
      <c r="C4" s="0" t="s">
        <v>244</v>
      </c>
      <c r="D4" s="8" t="str">
        <f aca="false">IF(AND(ISNUMBER(IF(AND(ISNUMBER(Razones!D5),ISNUMBER(Razones!D6)),Razones!D5+Razones!D6,"N/D")),ISNUMBER(Razones!D7)),IF(AND(ISNUMBER(Razones!D5),ISNUMBER(Razones!D6)),Razones!D5+Razones!D6,"N/D")-Razones!D7,"N/D")</f>
        <v>N/D</v>
      </c>
      <c r="E4" s="8" t="n">
        <f aca="false">IF(AND(ISNUMBER(IF(AND(ISNUMBER(Razones!E5),ISNUMBER(Razones!E6)),Razones!E5+Razones!E6,"N/D")),ISNUMBER(Razones!E7)),IF(AND(ISNUMBER(Razones!E5),ISNUMBER(Razones!E6)),Razones!E5+Razones!E6,"N/D")-Razones!E7,"N/D")</f>
        <v>69.8737228325065</v>
      </c>
      <c r="F4" s="6" t="s">
        <v>245</v>
      </c>
      <c r="G4" s="6" t="s">
        <v>246</v>
      </c>
    </row>
    <row r="5" customFormat="false" ht="15" hidden="false" customHeight="false" outlineLevel="0" collapsed="false">
      <c r="A5" s="0" t="s">
        <v>247</v>
      </c>
      <c r="B5" s="0" t="s">
        <v>248</v>
      </c>
      <c r="C5" s="0" t="s">
        <v>244</v>
      </c>
      <c r="D5" s="8" t="str">
        <f aca="false">IF(AND(ISNUMBER(365),ISNUMBER(Razones!D12)),IF(Razones!D12=0,"N/D",365/Razones!D12),"N/D")</f>
        <v>N/D</v>
      </c>
      <c r="E5" s="8" t="n">
        <f aca="false">IF(AND(ISNUMBER(365),ISNUMBER(Razones!E12)),IF(Razones!E12=0,"N/D",365/Razones!E12),"N/D")</f>
        <v>85.7530120481928</v>
      </c>
      <c r="F5" s="6" t="s">
        <v>245</v>
      </c>
      <c r="G5" s="6" t="s">
        <v>249</v>
      </c>
    </row>
    <row r="6" customFormat="false" ht="15" hidden="false" customHeight="false" outlineLevel="0" collapsed="false">
      <c r="A6" s="0" t="s">
        <v>250</v>
      </c>
      <c r="B6" s="0" t="s">
        <v>251</v>
      </c>
      <c r="C6" s="0" t="s">
        <v>244</v>
      </c>
      <c r="D6" s="8" t="str">
        <f aca="false">IF(AND(ISNUMBER(365),ISNUMBER(Razones!D10)),IF(Razones!D10=0,"N/D",365/Razones!D10),"N/D")</f>
        <v>N/D</v>
      </c>
      <c r="E6" s="8" t="n">
        <f aca="false">IF(AND(ISNUMBER(365),ISNUMBER(Razones!E10)),IF(Razones!E10=0,"N/D",365/Razones!E10),"N/D")</f>
        <v>64.6354166666667</v>
      </c>
      <c r="F6" s="6" t="s">
        <v>245</v>
      </c>
      <c r="G6" s="6" t="s">
        <v>252</v>
      </c>
    </row>
    <row r="7" customFormat="false" ht="15" hidden="false" customHeight="false" outlineLevel="0" collapsed="false">
      <c r="A7" s="0" t="s">
        <v>253</v>
      </c>
      <c r="B7" s="0" t="s">
        <v>254</v>
      </c>
      <c r="C7" s="0" t="s">
        <v>244</v>
      </c>
      <c r="D7" s="8" t="str">
        <f aca="false">IF(AND(ISNUMBER(365),ISNUMBER(Razones!D11)),IF(Razones!D11=0,"N/D",365/Razones!D11),"N/D")</f>
        <v>N/D</v>
      </c>
      <c r="E7" s="8" t="n">
        <f aca="false">IF(AND(ISNUMBER(365),ISNUMBER(Razones!E11)),IF(Razones!E11=0,"N/D",365/Razones!E11),"N/D")</f>
        <v>80.5147058823529</v>
      </c>
      <c r="F7" s="6" t="s">
        <v>245</v>
      </c>
      <c r="G7" s="6" t="s">
        <v>255</v>
      </c>
    </row>
    <row r="8" customFormat="false" ht="15" hidden="false" customHeight="false" outlineLevel="0" collapsed="false">
      <c r="A8" s="0" t="s">
        <v>256</v>
      </c>
      <c r="B8" s="0" t="s">
        <v>257</v>
      </c>
      <c r="C8" s="0" t="s">
        <v>258</v>
      </c>
      <c r="D8" s="8" t="str">
        <f aca="false">IF(AND(ISNUMBER(Derivados!D9),ISNUMBER(IF(Entradas!$D$3,Derivados!D10,"N/D"))),IF(IF(Entradas!$D$3,Derivados!D10,"N/D")=0,"N/D",Derivados!D9/IF(Entradas!$D$3,Derivados!D10,"N/D")),"N/D")</f>
        <v>N/D</v>
      </c>
      <c r="E8" s="8" t="n">
        <f aca="false">IF(AND(ISNUMBER(Derivados!E9),ISNUMBER(IF(AND(ISNUMBER(Derivados!D10),ISNUMBER(Derivados!E10)),(Derivados!D10+Derivados!E10)/2,"N/D"))),IF(IF(AND(ISNUMBER(Derivados!D10),ISNUMBER(Derivados!E10)),(Derivados!D10+Derivados!E10)/2,"N/D")=0,"N/D",Derivados!E9/IF(AND(ISNUMBER(Derivados!D10),ISNUMBER(Derivados!E10)),(Derivados!D10+Derivados!E10)/2,"N/D")),"N/D")</f>
        <v>2.27272727272727</v>
      </c>
      <c r="F8" s="6" t="s">
        <v>245</v>
      </c>
      <c r="G8" s="6" t="s">
        <v>259</v>
      </c>
    </row>
    <row r="9" customFormat="false" ht="15" hidden="false" customHeight="false" outlineLevel="0" collapsed="false">
      <c r="A9" s="0" t="s">
        <v>260</v>
      </c>
      <c r="B9" s="0" t="s">
        <v>261</v>
      </c>
      <c r="C9" s="0" t="s">
        <v>258</v>
      </c>
      <c r="D9" s="8" t="str">
        <f aca="false">IF(AND(ISNUMBER(Derivados!D9),ISNUMBER(IF(Entradas!$D$3,Derivados!D12,"N/D"))),IF(IF(Entradas!$D$3,Derivados!D12,"N/D")=0,"N/D",Derivados!D9/IF(Entradas!$D$3,Derivados!D12,"N/D")),"N/D")</f>
        <v>N/D</v>
      </c>
      <c r="E9" s="8" t="n">
        <f aca="false">IF(AND(ISNUMBER(Derivados!E9),ISNUMBER(IF(AND(ISNUMBER(Derivados!D12),ISNUMBER(Derivados!E12)),(Derivados!D12+Derivados!E12)/2,"N/D"))),IF(IF(AND(ISNUMBER(Derivados!D12),ISNUMBER(Derivados!E12)),(Derivados!D12+Derivados!E12)/2,"N/D")=0,"N/D",Derivados!E9/IF(AND(ISNUMBER(Derivados!D12),ISNUMBER(Derivados!E12)),(Derivados!D12+Derivados!E12)/2,"N/D")),"N/D")</f>
        <v>1.18043844856661</v>
      </c>
      <c r="F9" s="6" t="s">
        <v>245</v>
      </c>
      <c r="G9" s="6" t="s">
        <v>262</v>
      </c>
    </row>
    <row r="10" customFormat="false" ht="15" hidden="false" customHeight="false" outlineLevel="0" collapsed="false">
      <c r="A10" s="0" t="s">
        <v>263</v>
      </c>
      <c r="B10" s="0" t="s">
        <v>264</v>
      </c>
      <c r="C10" s="0" t="s">
        <v>258</v>
      </c>
      <c r="D10" s="8" t="str">
        <f aca="false">IF(AND(ISNUMBER(Entradas!D35),ISNUMBER(IF(Entradas!$D$3,Entradas!D41,"N/D"))),IF(IF(Entradas!$D$3,Entradas!D41,"N/D")=0,"N/D",Entradas!D35/IF(Entradas!$D$3,Entradas!D41,"N/D")),"N/D")</f>
        <v>N/D</v>
      </c>
      <c r="E10" s="8" t="n">
        <f aca="false">IF(AND(ISNUMBER(Entradas!E35),ISNUMBER(IF(AND(ISNUMBER(Entradas!D41),ISNUMBER(Entradas!E41)),(Entradas!D41+Entradas!E41)/2,"N/D"))),IF(IF(AND(ISNUMBER(Entradas!D41),ISNUMBER(Entradas!E41)),(Entradas!D41+Entradas!E41)/2,"N/D")=0,"N/D",Entradas!E35/IF(AND(ISNUMBER(Entradas!D41),ISNUMBER(Entradas!E41)),(Entradas!D41+Entradas!E41)/2,"N/D")),"N/D")</f>
        <v>5.64705882352941</v>
      </c>
      <c r="F10" s="6" t="s">
        <v>245</v>
      </c>
      <c r="G10" s="6" t="s">
        <v>265</v>
      </c>
    </row>
    <row r="11" customFormat="false" ht="15" hidden="false" customHeight="false" outlineLevel="0" collapsed="false">
      <c r="A11" s="0" t="s">
        <v>266</v>
      </c>
      <c r="B11" s="0" t="s">
        <v>267</v>
      </c>
      <c r="C11" s="0" t="s">
        <v>258</v>
      </c>
      <c r="D11" s="8" t="str">
        <f aca="false">IF(AND(ISNUMBER(Derivados!D6),ISNUMBER(IF(Entradas!$D$3,Entradas!D63,"N/D"))),IF(IF(Entradas!$D$3,Entradas!D63,"N/D")=0,"N/D",Derivados!D6/IF(Entradas!$D$3,Entradas!D63,"N/D")),"N/D")</f>
        <v>N/D</v>
      </c>
      <c r="E11" s="8" t="n">
        <f aca="false">IF(AND(ISNUMBER(Derivados!E6),ISNUMBER(IF(AND(ISNUMBER(Entradas!D63),ISNUMBER(Entradas!E63)),(Entradas!D63+Entradas!E63)/2,"N/D"))),IF(IF(AND(ISNUMBER(Entradas!D63),ISNUMBER(Entradas!E63)),(Entradas!D63+Entradas!E63)/2,"N/D")=0,"N/D",Derivados!E6/IF(AND(ISNUMBER(Entradas!D63),ISNUMBER(Entradas!E63)),(Entradas!D63+Entradas!E63)/2,"N/D")),"N/D")</f>
        <v>4.53333333333333</v>
      </c>
      <c r="F11" s="6" t="s">
        <v>245</v>
      </c>
      <c r="G11" s="6" t="s">
        <v>268</v>
      </c>
    </row>
    <row r="12" customFormat="false" ht="15" hidden="false" customHeight="false" outlineLevel="0" collapsed="false">
      <c r="A12" s="0" t="s">
        <v>269</v>
      </c>
      <c r="B12" s="0" t="s">
        <v>270</v>
      </c>
      <c r="C12" s="0" t="s">
        <v>258</v>
      </c>
      <c r="D12" s="8" t="str">
        <f aca="false">IF(AND(ISNUMBER(Derivados!D4),ISNUMBER(IF(Entradas!$D$3,Derivados!D5,"N/D"))),IF(IF(Entradas!$D$3,Derivados!D5,"N/D")=0,"N/D",Derivados!D4/IF(Entradas!$D$3,Derivados!D5,"N/D")),"N/D")</f>
        <v>N/D</v>
      </c>
      <c r="E12" s="8" t="n">
        <f aca="false">IF(AND(ISNUMBER(Derivados!E4),ISNUMBER(IF(AND(ISNUMBER(Derivados!D5),ISNUMBER(Derivados!E5)),(Derivados!D5+Derivados!E5)/2,"N/D"))),IF(IF(AND(ISNUMBER(Derivados!D5),ISNUMBER(Derivados!E5)),(Derivados!D5+Derivados!E5)/2,"N/D")=0,"N/D",Derivados!E4/IF(AND(ISNUMBER(Derivados!D5),ISNUMBER(Derivados!E5)),(Derivados!D5+Derivados!E5)/2,"N/D")),"N/D")</f>
        <v>4.25641025641026</v>
      </c>
      <c r="F12" s="6" t="s">
        <v>245</v>
      </c>
      <c r="G12" s="6" t="s">
        <v>271</v>
      </c>
    </row>
    <row r="13" customFormat="false" ht="15" hidden="false" customHeight="false" outlineLevel="0" collapsed="false">
      <c r="A13" s="0" t="s">
        <v>272</v>
      </c>
      <c r="B13" s="0" t="s">
        <v>273</v>
      </c>
      <c r="C13" s="0" t="s">
        <v>258</v>
      </c>
      <c r="D13" s="8" t="n">
        <f aca="false">IF(AND(ISNUMBER(Derivados!D15),ISNUMBER(Entradas!D30)),IF(Entradas!D30=0,"N/D",Derivados!D15/Entradas!D30),"N/D")</f>
        <v>7.5</v>
      </c>
      <c r="E13" s="8" t="n">
        <f aca="false">IF(AND(ISNUMBER(Derivados!E15),ISNUMBER(Entradas!E30)),IF(Entradas!E30=0,"N/D",Derivados!E15/Entradas!E30),"N/D")</f>
        <v>11.9090909090909</v>
      </c>
      <c r="F13" s="6" t="s">
        <v>274</v>
      </c>
      <c r="G13" s="6" t="s">
        <v>275</v>
      </c>
    </row>
    <row r="14" customFormat="false" ht="15" hidden="false" customHeight="false" outlineLevel="0" collapsed="false">
      <c r="A14" s="0" t="s">
        <v>276</v>
      </c>
      <c r="B14" s="0" t="s">
        <v>277</v>
      </c>
      <c r="C14" s="0" t="s">
        <v>258</v>
      </c>
      <c r="D14" s="8" t="n">
        <f aca="false">IF(AND(ISNUMBER(Derivados!D18),ISNUMBER(Derivados!D19)),IF(Derivados!D19=0,"N/D",Derivados!D18/Derivados!D19),"N/D")</f>
        <v>1.13483146067416</v>
      </c>
      <c r="E14" s="8" t="n">
        <f aca="false">IF(AND(ISNUMBER(Derivados!E18),ISNUMBER(Derivados!E19)),IF(Derivados!E19=0,"N/D",Derivados!E18/Derivados!E19),"N/D")</f>
        <v>0.683060109289618</v>
      </c>
      <c r="F14" s="6" t="s">
        <v>274</v>
      </c>
      <c r="G14" s="6" t="s">
        <v>278</v>
      </c>
    </row>
    <row r="15" customFormat="false" ht="15" hidden="false" customHeight="false" outlineLevel="0" collapsed="false">
      <c r="A15" s="0" t="s">
        <v>279</v>
      </c>
      <c r="B15" s="0" t="s">
        <v>280</v>
      </c>
      <c r="C15" s="0" t="s">
        <v>281</v>
      </c>
      <c r="D15" s="9" t="n">
        <f aca="false">IF(ISNUMBER(IF(AND(ISNUMBER(Derivados!D18),ISNUMBER(Derivados!D12)),IF(Derivados!D12=0,"N/D",Derivados!D18/Derivados!D12),"N/D")),(IF(AND(ISNUMBER(Derivados!D18),ISNUMBER(Derivados!D12)),IF(Derivados!D12=0,"N/D",Derivados!D18/Derivados!D12),"N/D"))*100,IF(AND(ISNUMBER(Derivados!D18),ISNUMBER(Derivados!D12)),IF(Derivados!D12=0,"N/D",Derivados!D18/Derivados!D12),"N/D"))</f>
        <v>53.1578947368421</v>
      </c>
      <c r="E15" s="9" t="n">
        <f aca="false">IF(ISNUMBER(IF(AND(ISNUMBER(Derivados!E18),ISNUMBER(Derivados!E12)),IF(Derivados!E12=0,"N/D",Derivados!E18/Derivados!E12),"N/D")),(IF(AND(ISNUMBER(Derivados!E18),ISNUMBER(Derivados!E12)),IF(Derivados!E12=0,"N/D",Derivados!E18/Derivados!E12),"N/D"))*100,IF(AND(ISNUMBER(Derivados!E18),ISNUMBER(Derivados!E12)),IF(Derivados!E12=0,"N/D",Derivados!E18/Derivados!E12),"N/D"))</f>
        <v>40.5844155844156</v>
      </c>
      <c r="F15" s="6" t="s">
        <v>274</v>
      </c>
      <c r="G15" s="6" t="s">
        <v>282</v>
      </c>
    </row>
    <row r="16" customFormat="false" ht="15" hidden="false" customHeight="false" outlineLevel="0" collapsed="false">
      <c r="A16" s="0" t="s">
        <v>283</v>
      </c>
      <c r="B16" s="0" t="s">
        <v>284</v>
      </c>
      <c r="C16" s="0" t="s">
        <v>285</v>
      </c>
      <c r="D16" s="10" t="n">
        <f aca="false">IF(AND(ISNUMBER(Derivados!D11),ISNUMBER(Derivados!D16)),Derivados!D11-Derivados!D16,"N/D")</f>
        <v>92000</v>
      </c>
      <c r="E16" s="10" t="n">
        <f aca="false">IF(AND(ISNUMBER(Derivados!E11),ISNUMBER(Derivados!E16)),Derivados!E11-Derivados!E16,"N/D")</f>
        <v>127000</v>
      </c>
      <c r="F16" s="6" t="s">
        <v>274</v>
      </c>
      <c r="G16" s="6" t="s">
        <v>286</v>
      </c>
    </row>
    <row r="17" customFormat="false" ht="15" hidden="false" customHeight="false" outlineLevel="0" collapsed="false">
      <c r="A17" s="0" t="s">
        <v>287</v>
      </c>
      <c r="B17" s="0" t="s">
        <v>288</v>
      </c>
      <c r="C17" s="0" t="s">
        <v>258</v>
      </c>
      <c r="D17" s="8" t="n">
        <f aca="false">IF(AND(ISNUMBER(IF(AND(ISNUMBER(Derivados!D11),ISNUMBER(Derivados!D5)),Derivados!D11-Derivados!D5,"N/D")),ISNUMBER(Derivados!D16)),IF(Derivados!D16=0,"N/D",IF(AND(ISNUMBER(Derivados!D11),ISNUMBER(Derivados!D5)),Derivados!D11-Derivados!D5,"N/D")/Derivados!D16),"N/D")</f>
        <v>1.01449275362319</v>
      </c>
      <c r="E17" s="8" t="n">
        <f aca="false">IF(AND(ISNUMBER(IF(AND(ISNUMBER(Derivados!E11),ISNUMBER(Derivados!E5)),Derivados!E11-Derivados!E5,"N/D")),ISNUMBER(Derivados!E16)),IF(Derivados!E16=0,"N/D",IF(AND(ISNUMBER(Derivados!E11),ISNUMBER(Derivados!E5)),Derivados!E11-Derivados!E5,"N/D")/Derivados!E16),"N/D")</f>
        <v>1.15172413793103</v>
      </c>
      <c r="F17" s="6" t="s">
        <v>274</v>
      </c>
      <c r="G17" s="6" t="s">
        <v>289</v>
      </c>
    </row>
    <row r="18" customFormat="false" ht="15" hidden="false" customHeight="false" outlineLevel="0" collapsed="false">
      <c r="A18" s="0" t="s">
        <v>290</v>
      </c>
      <c r="B18" s="0" t="s">
        <v>291</v>
      </c>
      <c r="C18" s="0" t="s">
        <v>258</v>
      </c>
      <c r="D18" s="8" t="n">
        <f aca="false">IF(AND(ISNUMBER(Derivados!D11),ISNUMBER(Derivados!D16)),IF(Derivados!D16=0,"N/D",Derivados!D11/Derivados!D16),"N/D")</f>
        <v>1.66666666666667</v>
      </c>
      <c r="E18" s="8" t="n">
        <f aca="false">IF(AND(ISNUMBER(Derivados!E11),ISNUMBER(Derivados!E16)),IF(Derivados!E16=0,"N/D",Derivados!E11/Derivados!E16),"N/D")</f>
        <v>1.87586206896552</v>
      </c>
      <c r="F18" s="6" t="s">
        <v>274</v>
      </c>
      <c r="G18" s="6" t="s">
        <v>292</v>
      </c>
    </row>
    <row r="19" customFormat="false" ht="15" hidden="false" customHeight="false" outlineLevel="0" collapsed="false">
      <c r="A19" s="0" t="s">
        <v>293</v>
      </c>
      <c r="B19" s="0" t="s">
        <v>294</v>
      </c>
      <c r="C19" s="0" t="s">
        <v>281</v>
      </c>
      <c r="D19" s="9" t="n">
        <f aca="false">IF(ISNUMBER(IF(AND(ISNUMBER(Derivados!D13),ISNUMBER(Derivados!D9)),IF(Derivados!D9=0,"N/D",Derivados!D13/Derivados!D9),"N/D")),(IF(AND(ISNUMBER(Derivados!D13),ISNUMBER(Derivados!D9)),IF(Derivados!D9=0,"N/D",Derivados!D13/Derivados!D9),"N/D"))*100,IF(AND(ISNUMBER(Derivados!D13),ISNUMBER(Derivados!D9)),IF(Derivados!D9=0,"N/D",Derivados!D13/Derivados!D9),"N/D"))</f>
        <v>40.1709401709402</v>
      </c>
      <c r="E19" s="9" t="n">
        <f aca="false">IF(ISNUMBER(IF(AND(ISNUMBER(Derivados!E13),ISNUMBER(Derivados!E9)),IF(Derivados!E9=0,"N/D",Derivados!E13/Derivados!E9),"N/D")),(IF(AND(ISNUMBER(Derivados!E13),ISNUMBER(Derivados!E9)),IF(Derivados!E9=0,"N/D",Derivados!E13/Derivados!E9),"N/D"))*100,IF(AND(ISNUMBER(Derivados!E13),ISNUMBER(Derivados!E9)),IF(Derivados!E9=0,"N/D",Derivados!E13/Derivados!E9),"N/D"))</f>
        <v>40.7142857142857</v>
      </c>
      <c r="F19" s="6" t="s">
        <v>274</v>
      </c>
      <c r="G19" s="6" t="s">
        <v>295</v>
      </c>
    </row>
    <row r="20" customFormat="false" ht="15" hidden="false" customHeight="false" outlineLevel="0" collapsed="false">
      <c r="A20" s="0" t="s">
        <v>296</v>
      </c>
      <c r="B20" s="0" t="s">
        <v>297</v>
      </c>
      <c r="C20" s="0" t="s">
        <v>281</v>
      </c>
      <c r="D20" s="9" t="n">
        <f aca="false">IF(ISNUMBER(IF(AND(ISNUMBER(Derivados!D20),ISNUMBER(Derivados!D9)),IF(Derivados!D9=0,"N/D",Derivados!D20/Derivados!D9),"N/D")),(IF(AND(ISNUMBER(Derivados!D20),ISNUMBER(Derivados!D9)),IF(Derivados!D9=0,"N/D",Derivados!D20/Derivados!D9),"N/D"))*100,IF(AND(ISNUMBER(Derivados!D20),ISNUMBER(Derivados!D9)),IF(Derivados!D9=0,"N/D",Derivados!D20/Derivados!D9),"N/D"))</f>
        <v>11.2820512820513</v>
      </c>
      <c r="E20" s="9" t="n">
        <f aca="false">IF(ISNUMBER(IF(AND(ISNUMBER(Derivados!E20),ISNUMBER(Derivados!E9)),IF(Derivados!E9=0,"N/D",Derivados!E20/Derivados!E9),"N/D")),(IF(AND(ISNUMBER(Derivados!E20),ISNUMBER(Derivados!E9)),IF(Derivados!E9=0,"N/D",Derivados!E20/Derivados!E9),"N/D"))*100,IF(AND(ISNUMBER(Derivados!E20),ISNUMBER(Derivados!E9)),IF(Derivados!E9=0,"N/D",Derivados!E20/Derivados!E9),"N/D"))</f>
        <v>14.1428571428571</v>
      </c>
      <c r="F20" s="6" t="s">
        <v>274</v>
      </c>
      <c r="G20" s="6" t="s">
        <v>298</v>
      </c>
    </row>
    <row r="21" customFormat="false" ht="15" hidden="false" customHeight="false" outlineLevel="0" collapsed="false">
      <c r="A21" s="0" t="s">
        <v>299</v>
      </c>
      <c r="B21" s="0" t="s">
        <v>300</v>
      </c>
      <c r="C21" s="0" t="s">
        <v>281</v>
      </c>
      <c r="D21" s="9" t="n">
        <f aca="false">IF(ISNUMBER(IF(AND(ISNUMBER(Derivados!D15),ISNUMBER(Derivados!D9)),IF(Derivados!D9=0,"N/D",Derivados!D15/Derivados!D9),"N/D")),(IF(AND(ISNUMBER(Derivados!D15),ISNUMBER(Derivados!D9)),IF(Derivados!D9=0,"N/D",Derivados!D15/Derivados!D9),"N/D"))*100,IF(AND(ISNUMBER(Derivados!D15),ISNUMBER(Derivados!D9)),IF(Derivados!D9=0,"N/D",Derivados!D15/Derivados!D9),"N/D"))</f>
        <v>15.3846153846154</v>
      </c>
      <c r="E21" s="9" t="n">
        <f aca="false">IF(ISNUMBER(IF(AND(ISNUMBER(Derivados!E15),ISNUMBER(Derivados!E9)),IF(Derivados!E9=0,"N/D",Derivados!E15/Derivados!E9),"N/D")),(IF(AND(ISNUMBER(Derivados!E15),ISNUMBER(Derivados!E9)),IF(Derivados!E9=0,"N/D",Derivados!E15/Derivados!E9),"N/D"))*100,IF(AND(ISNUMBER(Derivados!E15),ISNUMBER(Derivados!E9)),IF(Derivados!E9=0,"N/D",Derivados!E15/Derivados!E9),"N/D"))</f>
        <v>18.7142857142857</v>
      </c>
      <c r="F21" s="6" t="s">
        <v>274</v>
      </c>
      <c r="G21" s="6" t="s">
        <v>301</v>
      </c>
    </row>
    <row r="22" customFormat="false" ht="15" hidden="false" customHeight="false" outlineLevel="0" collapsed="false">
      <c r="A22" s="0" t="s">
        <v>302</v>
      </c>
      <c r="B22" s="0" t="s">
        <v>303</v>
      </c>
      <c r="C22" s="0" t="s">
        <v>281</v>
      </c>
      <c r="D22" s="9" t="str">
        <f aca="false">IF(ISNUMBER(IF(AND(ISNUMBER(Derivados!D20),ISNUMBER(IF(Entradas!$D$3,Derivados!D12,"N/D"))),IF(IF(Entradas!$D$3,Derivados!D12,"N/D")=0,"N/D",Derivados!D20/IF(Entradas!$D$3,Derivados!D12,"N/D")),"N/D")),(IF(AND(ISNUMBER(Derivados!D20),ISNUMBER(IF(Entradas!$D$3,Derivados!D12,"N/D"))),IF(IF(Entradas!$D$3,Derivados!D12,"N/D")=0,"N/D",Derivados!D20/IF(Entradas!$D$3,Derivados!D12,"N/D")),"N/D"))*100,IF(AND(ISNUMBER(Derivados!D20),ISNUMBER(IF(Entradas!$D$3,Derivados!D12,"N/D"))),IF(IF(Entradas!$D$3,Derivados!D12,"N/D")=0,"N/D",Derivados!D20/IF(Entradas!$D$3,Derivados!D12,"N/D")),"N/D"))</f>
        <v>N/D</v>
      </c>
      <c r="E22" s="9" t="n">
        <f aca="false">IF(ISNUMBER(IF(AND(ISNUMBER(Derivados!E20),ISNUMBER(IF(AND(ISNUMBER(Derivados!D12),ISNUMBER(Derivados!E12)),(Derivados!D12+Derivados!E12)/2,"N/D"))),IF(IF(AND(ISNUMBER(Derivados!D12),ISNUMBER(Derivados!E12)),(Derivados!D12+Derivados!E12)/2,"N/D")=0,"N/D",Derivados!E20/IF(AND(ISNUMBER(Derivados!D12),ISNUMBER(Derivados!E12)),(Derivados!D12+Derivados!E12)/2,"N/D")),"N/D")),(IF(AND(ISNUMBER(Derivados!E20),ISNUMBER(IF(AND(ISNUMBER(Derivados!D12),ISNUMBER(Derivados!E12)),(Derivados!D12+Derivados!E12)/2,"N/D"))),IF(IF(AND(ISNUMBER(Derivados!D12),ISNUMBER(Derivados!E12)),(Derivados!D12+Derivados!E12)/2,"N/D")=0,"N/D",Derivados!E20/IF(AND(ISNUMBER(Derivados!D12),ISNUMBER(Derivados!E12)),(Derivados!D12+Derivados!E12)/2,"N/D")),"N/D"))*100,IF(AND(ISNUMBER(Derivados!E20),ISNUMBER(IF(AND(ISNUMBER(Derivados!D12),ISNUMBER(Derivados!E12)),(Derivados!D12+Derivados!E12)/2,"N/D"))),IF(IF(AND(ISNUMBER(Derivados!D12),ISNUMBER(Derivados!E12)),(Derivados!D12+Derivados!E12)/2,"N/D")=0,"N/D",Derivados!E20/IF(AND(ISNUMBER(Derivados!D12),ISNUMBER(Derivados!E12)),(Derivados!D12+Derivados!E12)/2,"N/D")),"N/D"))</f>
        <v>16.6947723440135</v>
      </c>
      <c r="F22" s="6" t="s">
        <v>245</v>
      </c>
      <c r="G22" s="6" t="s">
        <v>304</v>
      </c>
    </row>
    <row r="23" customFormat="false" ht="15" hidden="false" customHeight="false" outlineLevel="0" collapsed="false">
      <c r="A23" s="0" t="s">
        <v>305</v>
      </c>
      <c r="B23" s="0" t="s">
        <v>306</v>
      </c>
      <c r="C23" s="0" t="s">
        <v>281</v>
      </c>
      <c r="D23" s="9" t="str">
        <f aca="false">IF(ISNUMBER(IF(AND(ISNUMBER(Derivados!D20),ISNUMBER(IF(Entradas!$D$3,Derivados!D19,"N/D"))),IF(IF(Entradas!$D$3,Derivados!D19,"N/D")=0,"N/D",Derivados!D20/IF(Entradas!$D$3,Derivados!D19,"N/D")),"N/D")),(IF(AND(ISNUMBER(Derivados!D20),ISNUMBER(IF(Entradas!$D$3,Derivados!D19,"N/D"))),IF(IF(Entradas!$D$3,Derivados!D19,"N/D")=0,"N/D",Derivados!D20/IF(Entradas!$D$3,Derivados!D19,"N/D")),"N/D"))*100,IF(AND(ISNUMBER(Derivados!D20),ISNUMBER(IF(Entradas!$D$3,Derivados!D19,"N/D"))),IF(IF(Entradas!$D$3,Derivados!D19,"N/D")=0,"N/D",Derivados!D20/IF(Entradas!$D$3,Derivados!D19,"N/D")),"N/D"))</f>
        <v>N/D</v>
      </c>
      <c r="E23" s="9" t="n">
        <f aca="false">IF(ISNUMBER(IF(AND(ISNUMBER(Derivados!E20),ISNUMBER(IF(AND(ISNUMBER(Derivados!D19),ISNUMBER(Derivados!E19)),(Derivados!D19+Derivados!E19)/2,"N/D"))),IF(IF(AND(ISNUMBER(Derivados!D19),ISNUMBER(Derivados!E19)),(Derivados!D19+Derivados!E19)/2,"N/D")=0,"N/D",Derivados!E20/IF(AND(ISNUMBER(Derivados!D19),ISNUMBER(Derivados!E19)),(Derivados!D19+Derivados!E19)/2,"N/D")),"N/D")),(IF(AND(ISNUMBER(Derivados!E20),ISNUMBER(IF(AND(ISNUMBER(Derivados!D19),ISNUMBER(Derivados!E19)),(Derivados!D19+Derivados!E19)/2,"N/D"))),IF(IF(AND(ISNUMBER(Derivados!D19),ISNUMBER(Derivados!E19)),(Derivados!D19+Derivados!E19)/2,"N/D")=0,"N/D",Derivados!E20/IF(AND(ISNUMBER(Derivados!D19),ISNUMBER(Derivados!E19)),(Derivados!D19+Derivados!E19)/2,"N/D")),"N/D"))*100,IF(AND(ISNUMBER(Derivados!E20),ISNUMBER(IF(AND(ISNUMBER(Derivados!D19),ISNUMBER(Derivados!E19)),(Derivados!D19+Derivados!E19)/2,"N/D"))),IF(IF(AND(ISNUMBER(Derivados!D19),ISNUMBER(Derivados!E19)),(Derivados!D19+Derivados!E19)/2,"N/D")=0,"N/D",Derivados!E20/IF(AND(ISNUMBER(Derivados!D19),ISNUMBER(Derivados!E19)),(Derivados!D19+Derivados!E19)/2,"N/D")),"N/D"))</f>
        <v>31.2796208530806</v>
      </c>
      <c r="F23" s="6" t="s">
        <v>245</v>
      </c>
      <c r="G23" s="6" t="s">
        <v>307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36"/>
    <col collapsed="false" customWidth="true" hidden="false" outlineLevel="0" max="3" min="3" style="0" width="12"/>
    <col collapsed="false" customWidth="true" hidden="false" outlineLevel="0" max="6" min="4" style="0" width="24"/>
  </cols>
  <sheetData>
    <row r="1" customFormat="false" ht="17.35" hidden="false" customHeight="false" outlineLevel="0" collapsed="false">
      <c r="A1" s="1" t="s">
        <v>308</v>
      </c>
    </row>
    <row r="3" customFormat="false" ht="15" hidden="false" customHeight="false" outlineLevel="0" collapsed="false">
      <c r="A3" s="4" t="s">
        <v>28</v>
      </c>
      <c r="B3" s="4" t="s">
        <v>238</v>
      </c>
      <c r="C3" s="4" t="s">
        <v>239</v>
      </c>
      <c r="D3" s="4" t="s">
        <v>309</v>
      </c>
      <c r="E3" s="4" t="s">
        <v>310</v>
      </c>
      <c r="F3" s="4" t="s">
        <v>311</v>
      </c>
    </row>
    <row r="4" customFormat="false" ht="15" hidden="false" customHeight="false" outlineLevel="0" collapsed="false">
      <c r="A4" s="0" t="s">
        <v>242</v>
      </c>
      <c r="B4" s="0" t="s">
        <v>243</v>
      </c>
      <c r="C4" s="0" t="s">
        <v>244</v>
      </c>
      <c r="D4" s="8" t="s">
        <v>312</v>
      </c>
      <c r="E4" s="8" t="n">
        <v>69.8737228325</v>
      </c>
      <c r="F4" s="8" t="s">
        <v>312</v>
      </c>
    </row>
    <row r="5" customFormat="false" ht="15" hidden="false" customHeight="false" outlineLevel="0" collapsed="false">
      <c r="A5" s="0" t="s">
        <v>247</v>
      </c>
      <c r="B5" s="0" t="s">
        <v>248</v>
      </c>
      <c r="C5" s="0" t="s">
        <v>244</v>
      </c>
      <c r="D5" s="8" t="s">
        <v>312</v>
      </c>
      <c r="E5" s="8" t="n">
        <v>85.7530120482</v>
      </c>
      <c r="F5" s="8" t="n">
        <v>93.8571428571</v>
      </c>
    </row>
    <row r="6" customFormat="false" ht="15" hidden="false" customHeight="false" outlineLevel="0" collapsed="false">
      <c r="A6" s="0" t="s">
        <v>250</v>
      </c>
      <c r="B6" s="0" t="s">
        <v>251</v>
      </c>
      <c r="C6" s="0" t="s">
        <v>244</v>
      </c>
      <c r="D6" s="8" t="s">
        <v>312</v>
      </c>
      <c r="E6" s="8" t="n">
        <v>64.6354166667</v>
      </c>
      <c r="F6" s="8" t="n">
        <v>73</v>
      </c>
    </row>
    <row r="7" customFormat="false" ht="15" hidden="false" customHeight="false" outlineLevel="0" collapsed="false">
      <c r="A7" s="0" t="s">
        <v>253</v>
      </c>
      <c r="B7" s="0" t="s">
        <v>254</v>
      </c>
      <c r="C7" s="0" t="s">
        <v>244</v>
      </c>
      <c r="D7" s="8" t="s">
        <v>312</v>
      </c>
      <c r="E7" s="8" t="n">
        <v>80.5147058824</v>
      </c>
      <c r="F7" s="8" t="s">
        <v>312</v>
      </c>
    </row>
    <row r="8" customFormat="false" ht="15" hidden="false" customHeight="false" outlineLevel="0" collapsed="false">
      <c r="A8" s="0" t="s">
        <v>256</v>
      </c>
      <c r="B8" s="0" t="s">
        <v>257</v>
      </c>
      <c r="C8" s="0" t="s">
        <v>258</v>
      </c>
      <c r="D8" s="8" t="s">
        <v>312</v>
      </c>
      <c r="E8" s="8" t="n">
        <v>2.2727272727</v>
      </c>
      <c r="F8" s="8" t="n">
        <v>1.9180327869</v>
      </c>
    </row>
    <row r="9" customFormat="false" ht="15" hidden="false" customHeight="false" outlineLevel="0" collapsed="false">
      <c r="A9" s="0" t="s">
        <v>260</v>
      </c>
      <c r="B9" s="0" t="s">
        <v>261</v>
      </c>
      <c r="C9" s="0" t="s">
        <v>258</v>
      </c>
      <c r="D9" s="8" t="s">
        <v>312</v>
      </c>
      <c r="E9" s="8" t="n">
        <v>1.1804384486</v>
      </c>
      <c r="F9" s="8" t="n">
        <v>1.0263157895</v>
      </c>
    </row>
    <row r="10" customFormat="false" ht="15" hidden="false" customHeight="false" outlineLevel="0" collapsed="false">
      <c r="A10" s="0" t="s">
        <v>263</v>
      </c>
      <c r="B10" s="0" t="s">
        <v>264</v>
      </c>
      <c r="C10" s="0" t="s">
        <v>258</v>
      </c>
      <c r="D10" s="8" t="s">
        <v>312</v>
      </c>
      <c r="E10" s="8" t="n">
        <v>5.6470588235</v>
      </c>
      <c r="F10" s="8" t="n">
        <v>5</v>
      </c>
    </row>
    <row r="11" customFormat="false" ht="15" hidden="false" customHeight="false" outlineLevel="0" collapsed="false">
      <c r="A11" s="0" t="s">
        <v>266</v>
      </c>
      <c r="B11" s="0" t="s">
        <v>267</v>
      </c>
      <c r="C11" s="0" t="s">
        <v>258</v>
      </c>
      <c r="D11" s="8" t="s">
        <v>312</v>
      </c>
      <c r="E11" s="8" t="n">
        <v>4.5333333333</v>
      </c>
      <c r="F11" s="8" t="s">
        <v>312</v>
      </c>
    </row>
    <row r="12" customFormat="false" ht="15" hidden="false" customHeight="false" outlineLevel="0" collapsed="false">
      <c r="A12" s="0" t="s">
        <v>269</v>
      </c>
      <c r="B12" s="0" t="s">
        <v>270</v>
      </c>
      <c r="C12" s="0" t="s">
        <v>258</v>
      </c>
      <c r="D12" s="8" t="s">
        <v>312</v>
      </c>
      <c r="E12" s="8" t="n">
        <v>4.2564102564</v>
      </c>
      <c r="F12" s="8" t="n">
        <v>3.8888888889</v>
      </c>
    </row>
    <row r="13" customFormat="false" ht="15" hidden="false" customHeight="false" outlineLevel="0" collapsed="false">
      <c r="A13" s="0" t="s">
        <v>272</v>
      </c>
      <c r="B13" s="0" t="s">
        <v>273</v>
      </c>
      <c r="C13" s="0" t="s">
        <v>258</v>
      </c>
      <c r="D13" s="8" t="n">
        <v>7.5</v>
      </c>
      <c r="E13" s="8" t="n">
        <v>11.9090909091</v>
      </c>
      <c r="F13" s="8" t="n">
        <v>7.5</v>
      </c>
    </row>
    <row r="14" customFormat="false" ht="15" hidden="false" customHeight="false" outlineLevel="0" collapsed="false">
      <c r="A14" s="0" t="s">
        <v>276</v>
      </c>
      <c r="B14" s="0" t="s">
        <v>277</v>
      </c>
      <c r="C14" s="0" t="s">
        <v>258</v>
      </c>
      <c r="D14" s="8" t="n">
        <v>1.1348314607</v>
      </c>
      <c r="E14" s="8" t="n">
        <v>0.6830601093</v>
      </c>
      <c r="F14" s="8" t="n">
        <v>1.1348314607</v>
      </c>
    </row>
    <row r="15" customFormat="false" ht="15" hidden="false" customHeight="false" outlineLevel="0" collapsed="false">
      <c r="A15" s="0" t="s">
        <v>279</v>
      </c>
      <c r="B15" s="0" t="s">
        <v>280</v>
      </c>
      <c r="C15" s="0" t="s">
        <v>281</v>
      </c>
      <c r="D15" s="9" t="n">
        <v>53.1578947368</v>
      </c>
      <c r="E15" s="9" t="n">
        <v>40.5844155844</v>
      </c>
      <c r="F15" s="9" t="n">
        <v>53.1578947368</v>
      </c>
    </row>
    <row r="16" customFormat="false" ht="15" hidden="false" customHeight="false" outlineLevel="0" collapsed="false">
      <c r="A16" s="0" t="s">
        <v>283</v>
      </c>
      <c r="B16" s="0" t="s">
        <v>284</v>
      </c>
      <c r="C16" s="0" t="s">
        <v>285</v>
      </c>
      <c r="D16" s="10" t="n">
        <v>92000</v>
      </c>
      <c r="E16" s="10" t="n">
        <v>127000</v>
      </c>
      <c r="F16" s="10" t="n">
        <v>92000</v>
      </c>
    </row>
    <row r="17" customFormat="false" ht="15" hidden="false" customHeight="false" outlineLevel="0" collapsed="false">
      <c r="A17" s="0" t="s">
        <v>287</v>
      </c>
      <c r="B17" s="0" t="s">
        <v>288</v>
      </c>
      <c r="C17" s="0" t="s">
        <v>258</v>
      </c>
      <c r="D17" s="8" t="n">
        <v>1.0144927536</v>
      </c>
      <c r="E17" s="8" t="n">
        <v>1.1517241379</v>
      </c>
      <c r="F17" s="8" t="n">
        <v>1.0144927536</v>
      </c>
    </row>
    <row r="18" customFormat="false" ht="15" hidden="false" customHeight="false" outlineLevel="0" collapsed="false">
      <c r="A18" s="0" t="s">
        <v>290</v>
      </c>
      <c r="B18" s="0" t="s">
        <v>291</v>
      </c>
      <c r="C18" s="0" t="s">
        <v>258</v>
      </c>
      <c r="D18" s="8" t="n">
        <v>1.6666666667</v>
      </c>
      <c r="E18" s="8" t="n">
        <v>1.875862069</v>
      </c>
      <c r="F18" s="8" t="n">
        <v>1.6666666667</v>
      </c>
    </row>
    <row r="19" customFormat="false" ht="15" hidden="false" customHeight="false" outlineLevel="0" collapsed="false">
      <c r="A19" s="0" t="s">
        <v>293</v>
      </c>
      <c r="B19" s="0" t="s">
        <v>294</v>
      </c>
      <c r="C19" s="0" t="s">
        <v>281</v>
      </c>
      <c r="D19" s="9" t="n">
        <v>40.1709401709</v>
      </c>
      <c r="E19" s="9" t="n">
        <v>40.7142857143</v>
      </c>
      <c r="F19" s="9" t="n">
        <v>40.1709401709</v>
      </c>
    </row>
    <row r="20" customFormat="false" ht="15" hidden="false" customHeight="false" outlineLevel="0" collapsed="false">
      <c r="A20" s="0" t="s">
        <v>296</v>
      </c>
      <c r="B20" s="0" t="s">
        <v>297</v>
      </c>
      <c r="C20" s="0" t="s">
        <v>281</v>
      </c>
      <c r="D20" s="9" t="n">
        <v>11.2820512821</v>
      </c>
      <c r="E20" s="9" t="n">
        <v>14.1428571429</v>
      </c>
      <c r="F20" s="9" t="n">
        <v>11.2820512821</v>
      </c>
    </row>
    <row r="21" customFormat="false" ht="15" hidden="false" customHeight="false" outlineLevel="0" collapsed="false">
      <c r="A21" s="0" t="s">
        <v>299</v>
      </c>
      <c r="B21" s="0" t="s">
        <v>300</v>
      </c>
      <c r="C21" s="0" t="s">
        <v>281</v>
      </c>
      <c r="D21" s="9" t="n">
        <v>15.3846153846</v>
      </c>
      <c r="E21" s="9" t="n">
        <v>18.7142857143</v>
      </c>
      <c r="F21" s="9" t="n">
        <v>15.3846153846</v>
      </c>
    </row>
    <row r="22" customFormat="false" ht="15" hidden="false" customHeight="false" outlineLevel="0" collapsed="false">
      <c r="A22" s="0" t="s">
        <v>302</v>
      </c>
      <c r="B22" s="0" t="s">
        <v>303</v>
      </c>
      <c r="C22" s="0" t="s">
        <v>281</v>
      </c>
      <c r="D22" s="9" t="s">
        <v>312</v>
      </c>
      <c r="E22" s="9" t="n">
        <v>16.694772344</v>
      </c>
      <c r="F22" s="9" t="n">
        <v>11.5789473684</v>
      </c>
    </row>
    <row r="23" customFormat="false" ht="15" hidden="false" customHeight="false" outlineLevel="0" collapsed="false">
      <c r="A23" s="0" t="s">
        <v>305</v>
      </c>
      <c r="B23" s="0" t="s">
        <v>306</v>
      </c>
      <c r="C23" s="0" t="s">
        <v>281</v>
      </c>
      <c r="D23" s="9" t="s">
        <v>312</v>
      </c>
      <c r="E23" s="9" t="n">
        <v>31.2796208531</v>
      </c>
      <c r="F23" s="9" t="n">
        <v>24.7191011236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2026-10-23T04:34:21Z</dcterms:created>
  <dc:creator>openpyxl</dc:creator>
  <dc:description/>
  <dc:language>en-US</dc:language>
  <cp:lastModifiedBy/>
  <dcterms:modified xsi:type="dcterms:W3CDTF">2026-10-23T04:34:21Z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